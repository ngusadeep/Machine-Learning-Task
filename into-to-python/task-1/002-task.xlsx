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dsscores" sheetId="1" r:id="rId4"/>
    <sheet state="visible" name="sorted_FM. Sort sorted_FM in de" sheetId="2" r:id="rId5"/>
  </sheets>
  <definedNames/>
  <calcPr/>
  <extLst>
    <ext uri="GoogleSheetsCustomDataVersion2">
      <go:sheetsCustomData xmlns:go="http://customooxmlschemas.google.com/" r:id="rId6" roundtripDataChecksum="ZNr+LTNzKWuf1yG6XjK/ZLXzXQ5Dm7W34NZ5Hyv5byQ="/>
    </ext>
  </extLst>
</workbook>
</file>

<file path=xl/sharedStrings.xml><?xml version="1.0" encoding="utf-8"?>
<sst xmlns="http://schemas.openxmlformats.org/spreadsheetml/2006/main" count="58" uniqueCount="23">
  <si>
    <t>SN</t>
  </si>
  <si>
    <t>Test1</t>
  </si>
  <si>
    <t>Test2</t>
  </si>
  <si>
    <t>UE</t>
  </si>
  <si>
    <t>CA</t>
  </si>
  <si>
    <t>FM</t>
  </si>
  <si>
    <t>Grade</t>
  </si>
  <si>
    <t>Remark</t>
  </si>
  <si>
    <t>Answers to questions</t>
  </si>
  <si>
    <t>Minimum</t>
  </si>
  <si>
    <t>Maximum</t>
  </si>
  <si>
    <t>Average</t>
  </si>
  <si>
    <t>Pass and Fail</t>
  </si>
  <si>
    <t>Students passed are:</t>
  </si>
  <si>
    <t>Students failed are:</t>
  </si>
  <si>
    <t>Grades summary</t>
  </si>
  <si>
    <t>A</t>
  </si>
  <si>
    <t>B+</t>
  </si>
  <si>
    <t>B</t>
  </si>
  <si>
    <t>C</t>
  </si>
  <si>
    <t>D</t>
  </si>
  <si>
    <t>E</t>
  </si>
  <si>
    <t>No. Stds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</si>
</sst>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3" numFmtId="0" xfId="0" applyBorder="1" applyFont="1"/>
    <xf borderId="1" fillId="0" fontId="2" numFmtId="0" xfId="0" applyAlignment="1" applyBorder="1" applyFont="1">
      <alignment horizontal="center" shrinkToFit="0" vertical="bottom" wrapText="0"/>
    </xf>
    <xf borderId="1" fillId="0" fontId="2" numFmtId="2" xfId="0" applyAlignment="1" applyBorder="1" applyFont="1" applyNumberFormat="1">
      <alignment horizontal="center" shrinkToFit="0" vertical="bottom" wrapText="0"/>
    </xf>
    <xf borderId="2" fillId="0" fontId="2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7.71"/>
    <col customWidth="1" min="3" max="3" width="6.29"/>
    <col customWidth="1" min="4" max="4" width="6.71"/>
    <col customWidth="1" min="5" max="5" width="8.0"/>
    <col customWidth="1" min="6" max="6" width="7.0"/>
    <col customWidth="1" min="7" max="7" width="6.57"/>
    <col customWidth="1" min="8" max="8" width="7.29"/>
    <col customWidth="1" min="9" max="10" width="9.14"/>
    <col customWidth="1" min="1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59.4</v>
      </c>
      <c r="C2" s="3">
        <v>26.3</v>
      </c>
      <c r="D2" s="3">
        <v>81.8</v>
      </c>
      <c r="E2" s="3">
        <f t="shared" ref="E2:E251" si="1">ROUND(B2*0.45 + C2*0.55,0)</f>
        <v>41</v>
      </c>
      <c r="F2" s="3">
        <f t="shared" ref="F2:F9" si="2">ROUND(E2:E251*0.5 + D2:D251*0.5, 1)</f>
        <v>61.4</v>
      </c>
      <c r="G2" s="3" t="str">
        <f t="shared" ref="G2:G251" si="3">IFS(
  F2&gt;=70, "A",
  F2&gt;=60, "B+",
  F2&gt;=50, "B",
  F2&gt;=40, "C",
  F2&gt;=35, "D",
  F2&lt;35, "E"
)</f>
        <v>B+</v>
      </c>
      <c r="H2" s="3" t="str">
        <f t="shared" ref="H2:H251" si="4">IF(F2&gt;=45,"P","F")
</f>
        <v>P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>
        <v>65.9</v>
      </c>
      <c r="C3" s="3">
        <v>29.6</v>
      </c>
      <c r="D3" s="3">
        <v>100.0</v>
      </c>
      <c r="E3" s="3">
        <f t="shared" si="1"/>
        <v>46</v>
      </c>
      <c r="F3" s="3">
        <f t="shared" si="2"/>
        <v>73</v>
      </c>
      <c r="G3" s="3" t="str">
        <f t="shared" si="3"/>
        <v>A</v>
      </c>
      <c r="H3" s="3" t="str">
        <f t="shared" si="4"/>
        <v>P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>
        <v>70.7</v>
      </c>
      <c r="C4" s="3">
        <v>56.3</v>
      </c>
      <c r="D4" s="3">
        <v>70.5</v>
      </c>
      <c r="E4" s="3">
        <f t="shared" si="1"/>
        <v>63</v>
      </c>
      <c r="F4" s="3">
        <f t="shared" si="2"/>
        <v>66.8</v>
      </c>
      <c r="G4" s="3" t="str">
        <f t="shared" si="3"/>
        <v>B+</v>
      </c>
      <c r="H4" s="3" t="str">
        <f t="shared" si="4"/>
        <v>P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>
        <v>27.5</v>
      </c>
      <c r="C5" s="3">
        <v>19.4</v>
      </c>
      <c r="D5" s="3">
        <v>36.7</v>
      </c>
      <c r="E5" s="3">
        <f t="shared" si="1"/>
        <v>23</v>
      </c>
      <c r="F5" s="3">
        <f t="shared" si="2"/>
        <v>29.9</v>
      </c>
      <c r="G5" s="3" t="str">
        <f t="shared" si="3"/>
        <v>E</v>
      </c>
      <c r="H5" s="3" t="str">
        <f t="shared" si="4"/>
        <v>F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>
        <v>45.2</v>
      </c>
      <c r="C6" s="3">
        <v>27.4</v>
      </c>
      <c r="D6" s="3">
        <v>96.4</v>
      </c>
      <c r="E6" s="3">
        <f t="shared" si="1"/>
        <v>35</v>
      </c>
      <c r="F6" s="3">
        <f t="shared" si="2"/>
        <v>65.7</v>
      </c>
      <c r="G6" s="3" t="str">
        <f t="shared" si="3"/>
        <v>B+</v>
      </c>
      <c r="H6" s="3" t="str">
        <f t="shared" si="4"/>
        <v>P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>
        <v>65.7</v>
      </c>
      <c r="C7" s="3">
        <v>29.1</v>
      </c>
      <c r="D7" s="3">
        <v>80.4</v>
      </c>
      <c r="E7" s="3">
        <f t="shared" si="1"/>
        <v>46</v>
      </c>
      <c r="F7" s="3">
        <f t="shared" si="2"/>
        <v>63.2</v>
      </c>
      <c r="G7" s="3" t="str">
        <f t="shared" si="3"/>
        <v>B+</v>
      </c>
      <c r="H7" s="3" t="str">
        <f t="shared" si="4"/>
        <v>P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>
        <v>88.2</v>
      </c>
      <c r="C8" s="3">
        <v>31.2</v>
      </c>
      <c r="D8" s="3">
        <v>77.8</v>
      </c>
      <c r="E8" s="3">
        <f t="shared" si="1"/>
        <v>57</v>
      </c>
      <c r="F8" s="3">
        <f t="shared" si="2"/>
        <v>67.4</v>
      </c>
      <c r="G8" s="3" t="str">
        <f t="shared" si="3"/>
        <v>B+</v>
      </c>
      <c r="H8" s="3" t="str">
        <f t="shared" si="4"/>
        <v>P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>
        <v>82.6</v>
      </c>
      <c r="C9" s="3">
        <v>70.9</v>
      </c>
      <c r="D9" s="3">
        <v>71.3</v>
      </c>
      <c r="E9" s="3">
        <f t="shared" si="1"/>
        <v>76</v>
      </c>
      <c r="F9" s="3">
        <f t="shared" si="2"/>
        <v>73.7</v>
      </c>
      <c r="G9" s="3" t="str">
        <f t="shared" si="3"/>
        <v>A</v>
      </c>
      <c r="H9" s="3" t="str">
        <f t="shared" si="4"/>
        <v>P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>
        <v>58.6</v>
      </c>
      <c r="C10" s="3">
        <v>52.2</v>
      </c>
      <c r="D10" s="3">
        <v>31.0</v>
      </c>
      <c r="E10" s="3">
        <f t="shared" si="1"/>
        <v>55</v>
      </c>
      <c r="F10" s="3">
        <f t="shared" ref="F10:F251" si="5">ROUND(E10:E260*0.5 + D10:D260*0.5, 1)</f>
        <v>43</v>
      </c>
      <c r="G10" s="3" t="str">
        <f t="shared" si="3"/>
        <v>C</v>
      </c>
      <c r="H10" s="3" t="str">
        <f t="shared" si="4"/>
        <v>F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>
        <v>84.1</v>
      </c>
      <c r="C11" s="3">
        <v>71.5</v>
      </c>
      <c r="D11" s="3">
        <v>25.1</v>
      </c>
      <c r="E11" s="3">
        <f t="shared" si="1"/>
        <v>77</v>
      </c>
      <c r="F11" s="3">
        <f t="shared" si="5"/>
        <v>51.1</v>
      </c>
      <c r="G11" s="3" t="str">
        <f t="shared" si="3"/>
        <v>B</v>
      </c>
      <c r="H11" s="3" t="str">
        <f t="shared" si="4"/>
        <v>P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>
        <v>84.5</v>
      </c>
      <c r="C12" s="3">
        <v>78.7</v>
      </c>
      <c r="D12" s="3">
        <v>93.4</v>
      </c>
      <c r="E12" s="3">
        <f t="shared" si="1"/>
        <v>81</v>
      </c>
      <c r="F12" s="3">
        <f t="shared" si="5"/>
        <v>87.2</v>
      </c>
      <c r="G12" s="3" t="str">
        <f t="shared" si="3"/>
        <v>A</v>
      </c>
      <c r="H12" s="3" t="str">
        <f t="shared" si="4"/>
        <v>P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>
        <v>63.6</v>
      </c>
      <c r="C13" s="3">
        <v>67.5</v>
      </c>
      <c r="D13" s="3">
        <v>63.9</v>
      </c>
      <c r="E13" s="3">
        <f t="shared" si="1"/>
        <v>66</v>
      </c>
      <c r="F13" s="3">
        <f t="shared" si="5"/>
        <v>65</v>
      </c>
      <c r="G13" s="3" t="str">
        <f t="shared" si="3"/>
        <v>B+</v>
      </c>
      <c r="H13" s="3" t="str">
        <f t="shared" si="4"/>
        <v>P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>
        <v>15.7</v>
      </c>
      <c r="C14" s="3">
        <v>11.1</v>
      </c>
      <c r="D14" s="3">
        <v>82.5</v>
      </c>
      <c r="E14" s="3">
        <f t="shared" si="1"/>
        <v>13</v>
      </c>
      <c r="F14" s="3">
        <f t="shared" si="5"/>
        <v>47.8</v>
      </c>
      <c r="G14" s="3" t="str">
        <f t="shared" si="3"/>
        <v>C</v>
      </c>
      <c r="H14" s="3" t="str">
        <f t="shared" si="4"/>
        <v>P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>
        <v>76.8</v>
      </c>
      <c r="C15" s="3">
        <v>23.4</v>
      </c>
      <c r="D15" s="3">
        <v>99.0</v>
      </c>
      <c r="E15" s="3">
        <f t="shared" si="1"/>
        <v>47</v>
      </c>
      <c r="F15" s="3">
        <f t="shared" si="5"/>
        <v>73</v>
      </c>
      <c r="G15" s="3" t="str">
        <f t="shared" si="3"/>
        <v>A</v>
      </c>
      <c r="H15" s="3" t="str">
        <f t="shared" si="4"/>
        <v>P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>
        <v>99.8</v>
      </c>
      <c r="C16" s="3">
        <v>38.7</v>
      </c>
      <c r="D16" s="3">
        <v>78.5</v>
      </c>
      <c r="E16" s="3">
        <f t="shared" si="1"/>
        <v>66</v>
      </c>
      <c r="F16" s="3">
        <f t="shared" si="5"/>
        <v>72.3</v>
      </c>
      <c r="G16" s="3" t="str">
        <f t="shared" si="3"/>
        <v>A</v>
      </c>
      <c r="H16" s="3" t="str">
        <f t="shared" si="4"/>
        <v>P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>
        <v>29.5</v>
      </c>
      <c r="C17" s="3">
        <v>95.2</v>
      </c>
      <c r="D17" s="3">
        <v>96.4</v>
      </c>
      <c r="E17" s="3">
        <f t="shared" si="1"/>
        <v>66</v>
      </c>
      <c r="F17" s="3">
        <f t="shared" si="5"/>
        <v>81.2</v>
      </c>
      <c r="G17" s="3" t="str">
        <f t="shared" si="3"/>
        <v>A</v>
      </c>
      <c r="H17" s="3" t="str">
        <f t="shared" si="4"/>
        <v>P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>
        <v>36.3</v>
      </c>
      <c r="C18" s="3">
        <v>28.8</v>
      </c>
      <c r="D18" s="3">
        <v>56.6</v>
      </c>
      <c r="E18" s="3">
        <f t="shared" si="1"/>
        <v>32</v>
      </c>
      <c r="F18" s="3">
        <f t="shared" si="5"/>
        <v>44.3</v>
      </c>
      <c r="G18" s="3" t="str">
        <f t="shared" si="3"/>
        <v>C</v>
      </c>
      <c r="H18" s="3" t="str">
        <f t="shared" si="4"/>
        <v>F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>
        <v>79.4</v>
      </c>
      <c r="C19" s="3">
        <v>96.4</v>
      </c>
      <c r="D19" s="3">
        <v>15.7</v>
      </c>
      <c r="E19" s="3">
        <f t="shared" si="1"/>
        <v>89</v>
      </c>
      <c r="F19" s="3">
        <f t="shared" si="5"/>
        <v>52.4</v>
      </c>
      <c r="G19" s="3" t="str">
        <f t="shared" si="3"/>
        <v>B</v>
      </c>
      <c r="H19" s="3" t="str">
        <f t="shared" si="4"/>
        <v>P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>
        <v>75.0</v>
      </c>
      <c r="C20" s="3">
        <v>12.2</v>
      </c>
      <c r="D20" s="3">
        <v>72.1</v>
      </c>
      <c r="E20" s="3">
        <f t="shared" si="1"/>
        <v>40</v>
      </c>
      <c r="F20" s="3">
        <f t="shared" si="5"/>
        <v>56.1</v>
      </c>
      <c r="G20" s="3" t="str">
        <f t="shared" si="3"/>
        <v>B</v>
      </c>
      <c r="H20" s="3" t="str">
        <f t="shared" si="4"/>
        <v>P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>
        <v>20.0</v>
      </c>
      <c r="B21" s="3">
        <v>95.1</v>
      </c>
      <c r="C21" s="3">
        <v>83.3</v>
      </c>
      <c r="D21" s="3">
        <v>47.0</v>
      </c>
      <c r="E21" s="3">
        <f t="shared" si="1"/>
        <v>89</v>
      </c>
      <c r="F21" s="3">
        <f t="shared" si="5"/>
        <v>68</v>
      </c>
      <c r="G21" s="3" t="str">
        <f t="shared" si="3"/>
        <v>B+</v>
      </c>
      <c r="H21" s="3" t="str">
        <f t="shared" si="4"/>
        <v>P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21.0</v>
      </c>
      <c r="B22" s="3">
        <v>86.4</v>
      </c>
      <c r="C22" s="3">
        <v>84.6</v>
      </c>
      <c r="D22" s="3">
        <v>53.8</v>
      </c>
      <c r="E22" s="3">
        <f t="shared" si="1"/>
        <v>85</v>
      </c>
      <c r="F22" s="3">
        <f t="shared" si="5"/>
        <v>69.4</v>
      </c>
      <c r="G22" s="3" t="str">
        <f t="shared" si="3"/>
        <v>B+</v>
      </c>
      <c r="H22" s="3" t="str">
        <f t="shared" si="4"/>
        <v>P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>
        <v>22.0</v>
      </c>
      <c r="B23" s="3">
        <v>50.4</v>
      </c>
      <c r="C23" s="3">
        <v>65.5</v>
      </c>
      <c r="D23" s="3">
        <v>68.3</v>
      </c>
      <c r="E23" s="3">
        <f t="shared" si="1"/>
        <v>59</v>
      </c>
      <c r="F23" s="3">
        <f t="shared" si="5"/>
        <v>63.7</v>
      </c>
      <c r="G23" s="3" t="str">
        <f t="shared" si="3"/>
        <v>B+</v>
      </c>
      <c r="H23" s="3" t="str">
        <f t="shared" si="4"/>
        <v>P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>
        <v>23.0</v>
      </c>
      <c r="B24" s="3">
        <v>19.3</v>
      </c>
      <c r="C24" s="3">
        <v>18.9</v>
      </c>
      <c r="D24" s="3">
        <v>54.8</v>
      </c>
      <c r="E24" s="3">
        <f t="shared" si="1"/>
        <v>19</v>
      </c>
      <c r="F24" s="3">
        <f t="shared" si="5"/>
        <v>36.9</v>
      </c>
      <c r="G24" s="3" t="str">
        <f t="shared" si="3"/>
        <v>D</v>
      </c>
      <c r="H24" s="3" t="str">
        <f t="shared" si="4"/>
        <v>F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>
        <v>24.0</v>
      </c>
      <c r="B25" s="3">
        <v>19.8</v>
      </c>
      <c r="C25" s="3">
        <v>51.5</v>
      </c>
      <c r="D25" s="3">
        <v>49.5</v>
      </c>
      <c r="E25" s="3">
        <f t="shared" si="1"/>
        <v>37</v>
      </c>
      <c r="F25" s="3">
        <f t="shared" si="5"/>
        <v>43.3</v>
      </c>
      <c r="G25" s="3" t="str">
        <f t="shared" si="3"/>
        <v>C</v>
      </c>
      <c r="H25" s="3" t="str">
        <f t="shared" si="4"/>
        <v>F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25.0</v>
      </c>
      <c r="B26" s="3">
        <v>20.2</v>
      </c>
      <c r="C26" s="3">
        <v>17.2</v>
      </c>
      <c r="D26" s="3">
        <v>53.7</v>
      </c>
      <c r="E26" s="3">
        <f t="shared" si="1"/>
        <v>19</v>
      </c>
      <c r="F26" s="3">
        <f t="shared" si="5"/>
        <v>36.4</v>
      </c>
      <c r="G26" s="3" t="str">
        <f t="shared" si="3"/>
        <v>D</v>
      </c>
      <c r="H26" s="3" t="str">
        <f t="shared" si="4"/>
        <v>F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>
        <v>26.0</v>
      </c>
      <c r="B27" s="3">
        <v>46.8</v>
      </c>
      <c r="C27" s="3">
        <v>93.3</v>
      </c>
      <c r="D27" s="3">
        <v>69.5</v>
      </c>
      <c r="E27" s="3">
        <f t="shared" si="1"/>
        <v>72</v>
      </c>
      <c r="F27" s="3">
        <f t="shared" si="5"/>
        <v>70.8</v>
      </c>
      <c r="G27" s="3" t="str">
        <f t="shared" si="3"/>
        <v>A</v>
      </c>
      <c r="H27" s="3" t="str">
        <f t="shared" si="4"/>
        <v>P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>
        <v>27.0</v>
      </c>
      <c r="B28" s="3">
        <v>27.7</v>
      </c>
      <c r="C28" s="3">
        <v>26.0</v>
      </c>
      <c r="D28" s="3">
        <v>48.7</v>
      </c>
      <c r="E28" s="3">
        <f t="shared" si="1"/>
        <v>27</v>
      </c>
      <c r="F28" s="3">
        <f t="shared" si="5"/>
        <v>37.9</v>
      </c>
      <c r="G28" s="3" t="str">
        <f t="shared" si="3"/>
        <v>D</v>
      </c>
      <c r="H28" s="3" t="str">
        <f t="shared" si="4"/>
        <v>F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>
        <v>28.0</v>
      </c>
      <c r="B29" s="3">
        <v>17.3</v>
      </c>
      <c r="C29" s="3">
        <v>27.9</v>
      </c>
      <c r="D29" s="3">
        <v>71.2</v>
      </c>
      <c r="E29" s="3">
        <f t="shared" si="1"/>
        <v>23</v>
      </c>
      <c r="F29" s="3">
        <f t="shared" si="5"/>
        <v>47.1</v>
      </c>
      <c r="G29" s="3" t="str">
        <f t="shared" si="3"/>
        <v>C</v>
      </c>
      <c r="H29" s="3" t="str">
        <f t="shared" si="4"/>
        <v>P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>
        <v>29.0</v>
      </c>
      <c r="B30" s="3">
        <v>77.7</v>
      </c>
      <c r="C30" s="3">
        <v>80.5</v>
      </c>
      <c r="D30" s="3">
        <v>37.0</v>
      </c>
      <c r="E30" s="3">
        <f t="shared" si="1"/>
        <v>79</v>
      </c>
      <c r="F30" s="3">
        <f t="shared" si="5"/>
        <v>58</v>
      </c>
      <c r="G30" s="3" t="str">
        <f t="shared" si="3"/>
        <v>B</v>
      </c>
      <c r="H30" s="3" t="str">
        <f t="shared" si="4"/>
        <v>P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>
        <v>30.0</v>
      </c>
      <c r="B31" s="3">
        <v>47.4</v>
      </c>
      <c r="C31" s="3">
        <v>68.1</v>
      </c>
      <c r="D31" s="3">
        <v>40.5</v>
      </c>
      <c r="E31" s="3">
        <f t="shared" si="1"/>
        <v>59</v>
      </c>
      <c r="F31" s="3">
        <f t="shared" si="5"/>
        <v>49.8</v>
      </c>
      <c r="G31" s="3" t="str">
        <f t="shared" si="3"/>
        <v>C</v>
      </c>
      <c r="H31" s="3" t="str">
        <f t="shared" si="4"/>
        <v>P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31.0</v>
      </c>
      <c r="B32" s="3">
        <v>71.0</v>
      </c>
      <c r="C32" s="3">
        <v>75.6</v>
      </c>
      <c r="D32" s="3">
        <v>23.0</v>
      </c>
      <c r="E32" s="3">
        <f t="shared" si="1"/>
        <v>74</v>
      </c>
      <c r="F32" s="3">
        <f t="shared" si="5"/>
        <v>48.5</v>
      </c>
      <c r="G32" s="3" t="str">
        <f t="shared" si="3"/>
        <v>C</v>
      </c>
      <c r="H32" s="3" t="str">
        <f t="shared" si="4"/>
        <v>P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>
        <v>32.0</v>
      </c>
      <c r="B33" s="3">
        <v>65.4</v>
      </c>
      <c r="C33" s="3">
        <v>50.7</v>
      </c>
      <c r="D33" s="3">
        <v>10.2</v>
      </c>
      <c r="E33" s="3">
        <f t="shared" si="1"/>
        <v>57</v>
      </c>
      <c r="F33" s="3">
        <f t="shared" si="5"/>
        <v>33.6</v>
      </c>
      <c r="G33" s="3" t="str">
        <f t="shared" si="3"/>
        <v>E</v>
      </c>
      <c r="H33" s="3" t="str">
        <f t="shared" si="4"/>
        <v>F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>
        <v>33.0</v>
      </c>
      <c r="B34" s="3">
        <v>25.4</v>
      </c>
      <c r="C34" s="3">
        <v>43.9</v>
      </c>
      <c r="D34" s="3">
        <v>39.5</v>
      </c>
      <c r="E34" s="3">
        <f t="shared" si="1"/>
        <v>36</v>
      </c>
      <c r="F34" s="3">
        <f t="shared" si="5"/>
        <v>37.8</v>
      </c>
      <c r="G34" s="3" t="str">
        <f t="shared" si="3"/>
        <v>D</v>
      </c>
      <c r="H34" s="3" t="str">
        <f t="shared" si="4"/>
        <v>F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>
        <v>34.0</v>
      </c>
      <c r="B35" s="3">
        <v>43.2</v>
      </c>
      <c r="C35" s="3">
        <v>25.4</v>
      </c>
      <c r="D35" s="3">
        <v>76.2</v>
      </c>
      <c r="E35" s="3">
        <f t="shared" si="1"/>
        <v>33</v>
      </c>
      <c r="F35" s="3">
        <f t="shared" si="5"/>
        <v>54.6</v>
      </c>
      <c r="G35" s="3" t="str">
        <f t="shared" si="3"/>
        <v>B</v>
      </c>
      <c r="H35" s="3" t="str">
        <f t="shared" si="4"/>
        <v>P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>
        <v>35.0</v>
      </c>
      <c r="B36" s="3">
        <v>31.9</v>
      </c>
      <c r="C36" s="3">
        <v>80.7</v>
      </c>
      <c r="D36" s="3">
        <v>31.0</v>
      </c>
      <c r="E36" s="3">
        <f t="shared" si="1"/>
        <v>59</v>
      </c>
      <c r="F36" s="3">
        <f t="shared" si="5"/>
        <v>45</v>
      </c>
      <c r="G36" s="3" t="str">
        <f t="shared" si="3"/>
        <v>C</v>
      </c>
      <c r="H36" s="3" t="str">
        <f t="shared" si="4"/>
        <v>P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>
        <v>36.0</v>
      </c>
      <c r="B37" s="3">
        <v>99.0</v>
      </c>
      <c r="C37" s="3">
        <v>11.4</v>
      </c>
      <c r="D37" s="3">
        <v>60.0</v>
      </c>
      <c r="E37" s="3">
        <f t="shared" si="1"/>
        <v>51</v>
      </c>
      <c r="F37" s="3">
        <f t="shared" si="5"/>
        <v>55.5</v>
      </c>
      <c r="G37" s="3" t="str">
        <f t="shared" si="3"/>
        <v>B</v>
      </c>
      <c r="H37" s="3" t="str">
        <f t="shared" si="4"/>
        <v>P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>
        <v>37.0</v>
      </c>
      <c r="B38" s="3">
        <v>30.7</v>
      </c>
      <c r="C38" s="3">
        <v>57.6</v>
      </c>
      <c r="D38" s="3">
        <v>21.9</v>
      </c>
      <c r="E38" s="3">
        <f t="shared" si="1"/>
        <v>45</v>
      </c>
      <c r="F38" s="3">
        <f t="shared" si="5"/>
        <v>33.5</v>
      </c>
      <c r="G38" s="3" t="str">
        <f t="shared" si="3"/>
        <v>E</v>
      </c>
      <c r="H38" s="3" t="str">
        <f t="shared" si="4"/>
        <v>F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>
        <v>38.0</v>
      </c>
      <c r="B39" s="3">
        <v>85.5</v>
      </c>
      <c r="C39" s="3">
        <v>46.0</v>
      </c>
      <c r="D39" s="3">
        <v>12.0</v>
      </c>
      <c r="E39" s="3">
        <f t="shared" si="1"/>
        <v>64</v>
      </c>
      <c r="F39" s="3">
        <f t="shared" si="5"/>
        <v>38</v>
      </c>
      <c r="G39" s="3" t="str">
        <f t="shared" si="3"/>
        <v>D</v>
      </c>
      <c r="H39" s="3" t="str">
        <f t="shared" si="4"/>
        <v>F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>
        <v>39.0</v>
      </c>
      <c r="B40" s="3">
        <v>76.8</v>
      </c>
      <c r="C40" s="3">
        <v>66.5</v>
      </c>
      <c r="D40" s="3">
        <v>99.5</v>
      </c>
      <c r="E40" s="3">
        <f t="shared" si="1"/>
        <v>71</v>
      </c>
      <c r="F40" s="3">
        <f t="shared" si="5"/>
        <v>85.3</v>
      </c>
      <c r="G40" s="3" t="str">
        <f t="shared" si="3"/>
        <v>A</v>
      </c>
      <c r="H40" s="3" t="str">
        <f t="shared" si="4"/>
        <v>P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>
        <v>40.0</v>
      </c>
      <c r="B41" s="3">
        <v>50.6</v>
      </c>
      <c r="C41" s="3">
        <v>41.8</v>
      </c>
      <c r="D41" s="3">
        <v>34.8</v>
      </c>
      <c r="E41" s="3">
        <f t="shared" si="1"/>
        <v>46</v>
      </c>
      <c r="F41" s="3">
        <f t="shared" si="5"/>
        <v>40.4</v>
      </c>
      <c r="G41" s="3" t="str">
        <f t="shared" si="3"/>
        <v>C</v>
      </c>
      <c r="H41" s="3" t="str">
        <f t="shared" si="4"/>
        <v>F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>
        <v>41.0</v>
      </c>
      <c r="B42" s="3">
        <v>32.7</v>
      </c>
      <c r="C42" s="3">
        <v>21.3</v>
      </c>
      <c r="D42" s="3">
        <v>11.6</v>
      </c>
      <c r="E42" s="3">
        <f t="shared" si="1"/>
        <v>26</v>
      </c>
      <c r="F42" s="3">
        <f t="shared" si="5"/>
        <v>18.8</v>
      </c>
      <c r="G42" s="3" t="str">
        <f t="shared" si="3"/>
        <v>E</v>
      </c>
      <c r="H42" s="3" t="str">
        <f t="shared" si="4"/>
        <v>F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>
        <v>42.0</v>
      </c>
      <c r="B43" s="3">
        <v>59.0</v>
      </c>
      <c r="C43" s="3">
        <v>16.4</v>
      </c>
      <c r="D43" s="3">
        <v>88.8</v>
      </c>
      <c r="E43" s="3">
        <f t="shared" si="1"/>
        <v>36</v>
      </c>
      <c r="F43" s="3">
        <f t="shared" si="5"/>
        <v>62.4</v>
      </c>
      <c r="G43" s="3" t="str">
        <f t="shared" si="3"/>
        <v>B+</v>
      </c>
      <c r="H43" s="3" t="str">
        <f t="shared" si="4"/>
        <v>P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>
        <v>43.0</v>
      </c>
      <c r="B44" s="3">
        <v>58.9</v>
      </c>
      <c r="C44" s="3">
        <v>41.0</v>
      </c>
      <c r="D44" s="3">
        <v>71.1</v>
      </c>
      <c r="E44" s="3">
        <f t="shared" si="1"/>
        <v>49</v>
      </c>
      <c r="F44" s="3">
        <f t="shared" si="5"/>
        <v>60.1</v>
      </c>
      <c r="G44" s="3" t="str">
        <f t="shared" si="3"/>
        <v>B+</v>
      </c>
      <c r="H44" s="3" t="str">
        <f t="shared" si="4"/>
        <v>P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>
        <v>44.0</v>
      </c>
      <c r="B45" s="3">
        <v>60.9</v>
      </c>
      <c r="C45" s="3">
        <v>48.9</v>
      </c>
      <c r="D45" s="3">
        <v>28.5</v>
      </c>
      <c r="E45" s="3">
        <f t="shared" si="1"/>
        <v>54</v>
      </c>
      <c r="F45" s="3">
        <f t="shared" si="5"/>
        <v>41.3</v>
      </c>
      <c r="G45" s="3" t="str">
        <f t="shared" si="3"/>
        <v>C</v>
      </c>
      <c r="H45" s="3" t="str">
        <f t="shared" si="4"/>
        <v>F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>
        <v>45.0</v>
      </c>
      <c r="B46" s="3">
        <v>38.7</v>
      </c>
      <c r="C46" s="3">
        <v>71.3</v>
      </c>
      <c r="D46" s="3">
        <v>65.3</v>
      </c>
      <c r="E46" s="3">
        <f t="shared" si="1"/>
        <v>57</v>
      </c>
      <c r="F46" s="3">
        <f t="shared" si="5"/>
        <v>61.2</v>
      </c>
      <c r="G46" s="3" t="str">
        <f t="shared" si="3"/>
        <v>B+</v>
      </c>
      <c r="H46" s="3" t="str">
        <f t="shared" si="4"/>
        <v>P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>
        <v>46.0</v>
      </c>
      <c r="B47" s="3">
        <v>20.0</v>
      </c>
      <c r="C47" s="3">
        <v>59.7</v>
      </c>
      <c r="D47" s="3">
        <v>89.1</v>
      </c>
      <c r="E47" s="3">
        <f t="shared" si="1"/>
        <v>42</v>
      </c>
      <c r="F47" s="3">
        <f t="shared" si="5"/>
        <v>65.6</v>
      </c>
      <c r="G47" s="3" t="str">
        <f t="shared" si="3"/>
        <v>B+</v>
      </c>
      <c r="H47" s="3" t="str">
        <f t="shared" si="4"/>
        <v>P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>
        <v>47.0</v>
      </c>
      <c r="B48" s="3">
        <v>84.8</v>
      </c>
      <c r="C48" s="3">
        <v>10.8</v>
      </c>
      <c r="D48" s="3">
        <v>22.2</v>
      </c>
      <c r="E48" s="3">
        <f t="shared" si="1"/>
        <v>44</v>
      </c>
      <c r="F48" s="3">
        <f t="shared" si="5"/>
        <v>33.1</v>
      </c>
      <c r="G48" s="3" t="str">
        <f t="shared" si="3"/>
        <v>E</v>
      </c>
      <c r="H48" s="3" t="str">
        <f t="shared" si="4"/>
        <v>F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>
        <v>48.0</v>
      </c>
      <c r="B49" s="3">
        <v>50.9</v>
      </c>
      <c r="C49" s="3">
        <v>35.0</v>
      </c>
      <c r="D49" s="3">
        <v>38.1</v>
      </c>
      <c r="E49" s="3">
        <f t="shared" si="1"/>
        <v>42</v>
      </c>
      <c r="F49" s="3">
        <f t="shared" si="5"/>
        <v>40.1</v>
      </c>
      <c r="G49" s="3" t="str">
        <f t="shared" si="3"/>
        <v>C</v>
      </c>
      <c r="H49" s="3" t="str">
        <f t="shared" si="4"/>
        <v>F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>
        <v>49.0</v>
      </c>
      <c r="B50" s="3">
        <v>80.4</v>
      </c>
      <c r="C50" s="3">
        <v>67.5</v>
      </c>
      <c r="D50" s="3">
        <v>58.9</v>
      </c>
      <c r="E50" s="3">
        <f t="shared" si="1"/>
        <v>73</v>
      </c>
      <c r="F50" s="3">
        <f t="shared" si="5"/>
        <v>66</v>
      </c>
      <c r="G50" s="3" t="str">
        <f t="shared" si="3"/>
        <v>B+</v>
      </c>
      <c r="H50" s="3" t="str">
        <f t="shared" si="4"/>
        <v>P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>
        <v>50.0</v>
      </c>
      <c r="B51" s="3">
        <v>71.5</v>
      </c>
      <c r="C51" s="3">
        <v>76.9</v>
      </c>
      <c r="D51" s="3">
        <v>37.4</v>
      </c>
      <c r="E51" s="3">
        <f t="shared" si="1"/>
        <v>74</v>
      </c>
      <c r="F51" s="3">
        <f t="shared" si="5"/>
        <v>55.7</v>
      </c>
      <c r="G51" s="3" t="str">
        <f t="shared" si="3"/>
        <v>B</v>
      </c>
      <c r="H51" s="3" t="str">
        <f t="shared" si="4"/>
        <v>P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>
        <v>51.0</v>
      </c>
      <c r="B52" s="3">
        <v>92.0</v>
      </c>
      <c r="C52" s="3">
        <v>31.7</v>
      </c>
      <c r="D52" s="3">
        <v>31.2</v>
      </c>
      <c r="E52" s="3">
        <f t="shared" si="1"/>
        <v>59</v>
      </c>
      <c r="F52" s="3">
        <f t="shared" si="5"/>
        <v>45.1</v>
      </c>
      <c r="G52" s="3" t="str">
        <f t="shared" si="3"/>
        <v>C</v>
      </c>
      <c r="H52" s="3" t="str">
        <f t="shared" si="4"/>
        <v>P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>
        <v>52.0</v>
      </c>
      <c r="B53" s="3">
        <v>30.6</v>
      </c>
      <c r="C53" s="3">
        <v>71.9</v>
      </c>
      <c r="D53" s="3">
        <v>42.5</v>
      </c>
      <c r="E53" s="3">
        <f t="shared" si="1"/>
        <v>53</v>
      </c>
      <c r="F53" s="3">
        <f t="shared" si="5"/>
        <v>47.8</v>
      </c>
      <c r="G53" s="3" t="str">
        <f t="shared" si="3"/>
        <v>C</v>
      </c>
      <c r="H53" s="3" t="str">
        <f t="shared" si="4"/>
        <v>P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>
        <v>53.0</v>
      </c>
      <c r="B54" s="3">
        <v>49.8</v>
      </c>
      <c r="C54" s="3">
        <v>30.0</v>
      </c>
      <c r="D54" s="3">
        <v>15.2</v>
      </c>
      <c r="E54" s="3">
        <f t="shared" si="1"/>
        <v>39</v>
      </c>
      <c r="F54" s="3">
        <f t="shared" si="5"/>
        <v>27.1</v>
      </c>
      <c r="G54" s="3" t="str">
        <f t="shared" si="3"/>
        <v>E</v>
      </c>
      <c r="H54" s="3" t="str">
        <f t="shared" si="4"/>
        <v>F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>
        <v>54.0</v>
      </c>
      <c r="B55" s="3">
        <v>33.3</v>
      </c>
      <c r="C55" s="3">
        <v>51.7</v>
      </c>
      <c r="D55" s="3">
        <v>57.6</v>
      </c>
      <c r="E55" s="3">
        <f t="shared" si="1"/>
        <v>43</v>
      </c>
      <c r="F55" s="3">
        <f t="shared" si="5"/>
        <v>50.3</v>
      </c>
      <c r="G55" s="3" t="str">
        <f t="shared" si="3"/>
        <v>B</v>
      </c>
      <c r="H55" s="3" t="str">
        <f t="shared" si="4"/>
        <v>P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>
        <v>55.0</v>
      </c>
      <c r="B56" s="3">
        <v>63.8</v>
      </c>
      <c r="C56" s="3">
        <v>28.4</v>
      </c>
      <c r="D56" s="3">
        <v>86.8</v>
      </c>
      <c r="E56" s="3">
        <f t="shared" si="1"/>
        <v>44</v>
      </c>
      <c r="F56" s="3">
        <f t="shared" si="5"/>
        <v>65.4</v>
      </c>
      <c r="G56" s="3" t="str">
        <f t="shared" si="3"/>
        <v>B+</v>
      </c>
      <c r="H56" s="3" t="str">
        <f t="shared" si="4"/>
        <v>P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>
        <v>56.0</v>
      </c>
      <c r="B57" s="3">
        <v>58.8</v>
      </c>
      <c r="C57" s="3">
        <v>41.1</v>
      </c>
      <c r="D57" s="3">
        <v>62.6</v>
      </c>
      <c r="E57" s="3">
        <f t="shared" si="1"/>
        <v>49</v>
      </c>
      <c r="F57" s="3">
        <f t="shared" si="5"/>
        <v>55.8</v>
      </c>
      <c r="G57" s="3" t="str">
        <f t="shared" si="3"/>
        <v>B</v>
      </c>
      <c r="H57" s="3" t="str">
        <f t="shared" si="4"/>
        <v>P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>
        <v>57.0</v>
      </c>
      <c r="B58" s="3">
        <v>67.8</v>
      </c>
      <c r="C58" s="3">
        <v>50.4</v>
      </c>
      <c r="D58" s="3">
        <v>57.1</v>
      </c>
      <c r="E58" s="3">
        <f t="shared" si="1"/>
        <v>58</v>
      </c>
      <c r="F58" s="3">
        <f t="shared" si="5"/>
        <v>57.6</v>
      </c>
      <c r="G58" s="3" t="str">
        <f t="shared" si="3"/>
        <v>B</v>
      </c>
      <c r="H58" s="3" t="str">
        <f t="shared" si="4"/>
        <v>P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>
        <v>58.0</v>
      </c>
      <c r="B59" s="3">
        <v>28.2</v>
      </c>
      <c r="C59" s="3">
        <v>92.1</v>
      </c>
      <c r="D59" s="3">
        <v>75.9</v>
      </c>
      <c r="E59" s="3">
        <f t="shared" si="1"/>
        <v>63</v>
      </c>
      <c r="F59" s="3">
        <f t="shared" si="5"/>
        <v>69.5</v>
      </c>
      <c r="G59" s="3" t="str">
        <f t="shared" si="3"/>
        <v>B+</v>
      </c>
      <c r="H59" s="3" t="str">
        <f t="shared" si="4"/>
        <v>P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>
        <v>59.0</v>
      </c>
      <c r="B60" s="3">
        <v>57.8</v>
      </c>
      <c r="C60" s="3">
        <v>44.7</v>
      </c>
      <c r="D60" s="3">
        <v>53.3</v>
      </c>
      <c r="E60" s="3">
        <f t="shared" si="1"/>
        <v>51</v>
      </c>
      <c r="F60" s="3">
        <f t="shared" si="5"/>
        <v>52.2</v>
      </c>
      <c r="G60" s="3" t="str">
        <f t="shared" si="3"/>
        <v>B</v>
      </c>
      <c r="H60" s="3" t="str">
        <f t="shared" si="4"/>
        <v>P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>
        <v>60.0</v>
      </c>
      <c r="B61" s="3">
        <v>67.1</v>
      </c>
      <c r="C61" s="3">
        <v>79.3</v>
      </c>
      <c r="D61" s="3">
        <v>39.2</v>
      </c>
      <c r="E61" s="3">
        <f t="shared" si="1"/>
        <v>74</v>
      </c>
      <c r="F61" s="3">
        <f t="shared" si="5"/>
        <v>56.6</v>
      </c>
      <c r="G61" s="3" t="str">
        <f t="shared" si="3"/>
        <v>B</v>
      </c>
      <c r="H61" s="3" t="str">
        <f t="shared" si="4"/>
        <v>P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>
        <v>61.0</v>
      </c>
      <c r="B62" s="3">
        <v>17.6</v>
      </c>
      <c r="C62" s="3">
        <v>96.0</v>
      </c>
      <c r="D62" s="3">
        <v>44.4</v>
      </c>
      <c r="E62" s="3">
        <f t="shared" si="1"/>
        <v>61</v>
      </c>
      <c r="F62" s="3">
        <f t="shared" si="5"/>
        <v>52.7</v>
      </c>
      <c r="G62" s="3" t="str">
        <f t="shared" si="3"/>
        <v>B</v>
      </c>
      <c r="H62" s="3" t="str">
        <f t="shared" si="4"/>
        <v>P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>
        <v>62.0</v>
      </c>
      <c r="B63" s="3">
        <v>89.9</v>
      </c>
      <c r="C63" s="3">
        <v>46.3</v>
      </c>
      <c r="D63" s="3">
        <v>87.1</v>
      </c>
      <c r="E63" s="3">
        <f t="shared" si="1"/>
        <v>66</v>
      </c>
      <c r="F63" s="3">
        <f t="shared" si="5"/>
        <v>76.6</v>
      </c>
      <c r="G63" s="3" t="str">
        <f t="shared" si="3"/>
        <v>A</v>
      </c>
      <c r="H63" s="3" t="str">
        <f t="shared" si="4"/>
        <v>P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>
        <v>63.0</v>
      </c>
      <c r="B64" s="3">
        <v>89.8</v>
      </c>
      <c r="C64" s="3">
        <v>34.0</v>
      </c>
      <c r="D64" s="3">
        <v>97.4</v>
      </c>
      <c r="E64" s="3">
        <f t="shared" si="1"/>
        <v>59</v>
      </c>
      <c r="F64" s="3">
        <f t="shared" si="5"/>
        <v>78.2</v>
      </c>
      <c r="G64" s="3" t="str">
        <f t="shared" si="3"/>
        <v>A</v>
      </c>
      <c r="H64" s="3" t="str">
        <f t="shared" si="4"/>
        <v>P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>
        <v>64.0</v>
      </c>
      <c r="B65" s="3">
        <v>33.1</v>
      </c>
      <c r="C65" s="3">
        <v>61.6</v>
      </c>
      <c r="D65" s="3">
        <v>78.6</v>
      </c>
      <c r="E65" s="3">
        <f t="shared" si="1"/>
        <v>49</v>
      </c>
      <c r="F65" s="3">
        <f t="shared" si="5"/>
        <v>63.8</v>
      </c>
      <c r="G65" s="3" t="str">
        <f t="shared" si="3"/>
        <v>B+</v>
      </c>
      <c r="H65" s="3" t="str">
        <f t="shared" si="4"/>
        <v>P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>
        <v>65.0</v>
      </c>
      <c r="B66" s="3">
        <v>27.3</v>
      </c>
      <c r="C66" s="3">
        <v>84.8</v>
      </c>
      <c r="D66" s="3">
        <v>74.5</v>
      </c>
      <c r="E66" s="3">
        <f t="shared" si="1"/>
        <v>59</v>
      </c>
      <c r="F66" s="3">
        <f t="shared" si="5"/>
        <v>66.8</v>
      </c>
      <c r="G66" s="3" t="str">
        <f t="shared" si="3"/>
        <v>B+</v>
      </c>
      <c r="H66" s="3" t="str">
        <f t="shared" si="4"/>
        <v>P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>
        <v>66.0</v>
      </c>
      <c r="B67" s="3">
        <v>34.2</v>
      </c>
      <c r="C67" s="3">
        <v>33.1</v>
      </c>
      <c r="D67" s="3">
        <v>23.5</v>
      </c>
      <c r="E67" s="3">
        <f t="shared" si="1"/>
        <v>34</v>
      </c>
      <c r="F67" s="3">
        <f t="shared" si="5"/>
        <v>28.8</v>
      </c>
      <c r="G67" s="3" t="str">
        <f t="shared" si="3"/>
        <v>E</v>
      </c>
      <c r="H67" s="3" t="str">
        <f t="shared" si="4"/>
        <v>F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>
        <v>67.0</v>
      </c>
      <c r="B68" s="3">
        <v>17.2</v>
      </c>
      <c r="C68" s="3">
        <v>83.9</v>
      </c>
      <c r="D68" s="3">
        <v>43.2</v>
      </c>
      <c r="E68" s="3">
        <f t="shared" si="1"/>
        <v>54</v>
      </c>
      <c r="F68" s="3">
        <f t="shared" si="5"/>
        <v>48.6</v>
      </c>
      <c r="G68" s="3" t="str">
        <f t="shared" si="3"/>
        <v>C</v>
      </c>
      <c r="H68" s="3" t="str">
        <f t="shared" si="4"/>
        <v>P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>
        <v>68.0</v>
      </c>
      <c r="B69" s="3">
        <v>60.1</v>
      </c>
      <c r="C69" s="3">
        <v>66.6</v>
      </c>
      <c r="D69" s="3">
        <v>11.5</v>
      </c>
      <c r="E69" s="3">
        <f t="shared" si="1"/>
        <v>64</v>
      </c>
      <c r="F69" s="3">
        <f t="shared" si="5"/>
        <v>37.8</v>
      </c>
      <c r="G69" s="3" t="str">
        <f t="shared" si="3"/>
        <v>D</v>
      </c>
      <c r="H69" s="3" t="str">
        <f t="shared" si="4"/>
        <v>F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>
        <v>69.0</v>
      </c>
      <c r="B70" s="3">
        <v>46.4</v>
      </c>
      <c r="C70" s="3">
        <v>65.3</v>
      </c>
      <c r="D70" s="3">
        <v>51.5</v>
      </c>
      <c r="E70" s="3">
        <f t="shared" si="1"/>
        <v>57</v>
      </c>
      <c r="F70" s="3">
        <f t="shared" si="5"/>
        <v>54.3</v>
      </c>
      <c r="G70" s="3" t="str">
        <f t="shared" si="3"/>
        <v>B</v>
      </c>
      <c r="H70" s="3" t="str">
        <f t="shared" si="4"/>
        <v>P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>
        <v>70.0</v>
      </c>
      <c r="B71" s="3">
        <v>45.3</v>
      </c>
      <c r="C71" s="3">
        <v>73.2</v>
      </c>
      <c r="D71" s="3">
        <v>18.9</v>
      </c>
      <c r="E71" s="3">
        <f t="shared" si="1"/>
        <v>61</v>
      </c>
      <c r="F71" s="3">
        <f t="shared" si="5"/>
        <v>40</v>
      </c>
      <c r="G71" s="3" t="str">
        <f t="shared" si="3"/>
        <v>C</v>
      </c>
      <c r="H71" s="3" t="str">
        <f t="shared" si="4"/>
        <v>F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>
        <v>71.0</v>
      </c>
      <c r="B72" s="3">
        <v>57.6</v>
      </c>
      <c r="C72" s="3">
        <v>63.2</v>
      </c>
      <c r="D72" s="3">
        <v>59.4</v>
      </c>
      <c r="E72" s="3">
        <f t="shared" si="1"/>
        <v>61</v>
      </c>
      <c r="F72" s="3">
        <f t="shared" si="5"/>
        <v>60.2</v>
      </c>
      <c r="G72" s="3" t="str">
        <f t="shared" si="3"/>
        <v>B+</v>
      </c>
      <c r="H72" s="3" t="str">
        <f t="shared" si="4"/>
        <v>P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>
        <v>72.0</v>
      </c>
      <c r="B73" s="3">
        <v>68.0</v>
      </c>
      <c r="C73" s="3">
        <v>60.9</v>
      </c>
      <c r="D73" s="3">
        <v>47.8</v>
      </c>
      <c r="E73" s="3">
        <f t="shared" si="1"/>
        <v>64</v>
      </c>
      <c r="F73" s="3">
        <f t="shared" si="5"/>
        <v>55.9</v>
      </c>
      <c r="G73" s="3" t="str">
        <f t="shared" si="3"/>
        <v>B</v>
      </c>
      <c r="H73" s="3" t="str">
        <f t="shared" si="4"/>
        <v>P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>
        <v>73.0</v>
      </c>
      <c r="B74" s="3">
        <v>82.5</v>
      </c>
      <c r="C74" s="3">
        <v>55.8</v>
      </c>
      <c r="D74" s="3">
        <v>68.9</v>
      </c>
      <c r="E74" s="3">
        <f t="shared" si="1"/>
        <v>68</v>
      </c>
      <c r="F74" s="3">
        <f t="shared" si="5"/>
        <v>68.5</v>
      </c>
      <c r="G74" s="3" t="str">
        <f t="shared" si="3"/>
        <v>B+</v>
      </c>
      <c r="H74" s="3" t="str">
        <f t="shared" si="4"/>
        <v>P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>
        <v>74.0</v>
      </c>
      <c r="B75" s="3">
        <v>95.1</v>
      </c>
      <c r="C75" s="3">
        <v>18.6</v>
      </c>
      <c r="D75" s="3">
        <v>15.6</v>
      </c>
      <c r="E75" s="3">
        <f t="shared" si="1"/>
        <v>53</v>
      </c>
      <c r="F75" s="3">
        <f t="shared" si="5"/>
        <v>34.3</v>
      </c>
      <c r="G75" s="3" t="str">
        <f t="shared" si="3"/>
        <v>E</v>
      </c>
      <c r="H75" s="3" t="str">
        <f t="shared" si="4"/>
        <v>F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>
        <v>75.0</v>
      </c>
      <c r="B76" s="3">
        <v>64.0</v>
      </c>
      <c r="C76" s="3">
        <v>70.4</v>
      </c>
      <c r="D76" s="3">
        <v>77.3</v>
      </c>
      <c r="E76" s="3">
        <f t="shared" si="1"/>
        <v>68</v>
      </c>
      <c r="F76" s="3">
        <f t="shared" si="5"/>
        <v>72.7</v>
      </c>
      <c r="G76" s="3" t="str">
        <f t="shared" si="3"/>
        <v>A</v>
      </c>
      <c r="H76" s="3" t="str">
        <f t="shared" si="4"/>
        <v>P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>
        <v>76.0</v>
      </c>
      <c r="B77" s="3">
        <v>95.3</v>
      </c>
      <c r="C77" s="3">
        <v>76.9</v>
      </c>
      <c r="D77" s="3">
        <v>32.4</v>
      </c>
      <c r="E77" s="3">
        <f t="shared" si="1"/>
        <v>85</v>
      </c>
      <c r="F77" s="3">
        <f t="shared" si="5"/>
        <v>58.7</v>
      </c>
      <c r="G77" s="3" t="str">
        <f t="shared" si="3"/>
        <v>B</v>
      </c>
      <c r="H77" s="3" t="str">
        <f t="shared" si="4"/>
        <v>P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>
        <v>77.0</v>
      </c>
      <c r="B78" s="3">
        <v>80.5</v>
      </c>
      <c r="C78" s="3">
        <v>59.5</v>
      </c>
      <c r="D78" s="3">
        <v>78.3</v>
      </c>
      <c r="E78" s="3">
        <f t="shared" si="1"/>
        <v>69</v>
      </c>
      <c r="F78" s="3">
        <f t="shared" si="5"/>
        <v>73.7</v>
      </c>
      <c r="G78" s="3" t="str">
        <f t="shared" si="3"/>
        <v>A</v>
      </c>
      <c r="H78" s="3" t="str">
        <f t="shared" si="4"/>
        <v>P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>
        <v>78.0</v>
      </c>
      <c r="B79" s="3">
        <v>36.9</v>
      </c>
      <c r="C79" s="3">
        <v>32.1</v>
      </c>
      <c r="D79" s="3">
        <v>75.2</v>
      </c>
      <c r="E79" s="3">
        <f t="shared" si="1"/>
        <v>34</v>
      </c>
      <c r="F79" s="3">
        <f t="shared" si="5"/>
        <v>54.6</v>
      </c>
      <c r="G79" s="3" t="str">
        <f t="shared" si="3"/>
        <v>B</v>
      </c>
      <c r="H79" s="3" t="str">
        <f t="shared" si="4"/>
        <v>P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>
        <v>79.0</v>
      </c>
      <c r="B80" s="3">
        <v>79.7</v>
      </c>
      <c r="C80" s="3">
        <v>13.8</v>
      </c>
      <c r="D80" s="3">
        <v>96.5</v>
      </c>
      <c r="E80" s="3">
        <f t="shared" si="1"/>
        <v>43</v>
      </c>
      <c r="F80" s="3">
        <f t="shared" si="5"/>
        <v>69.8</v>
      </c>
      <c r="G80" s="3" t="str">
        <f t="shared" si="3"/>
        <v>B+</v>
      </c>
      <c r="H80" s="3" t="str">
        <f t="shared" si="4"/>
        <v>P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>
        <v>80.0</v>
      </c>
      <c r="B81" s="3">
        <v>69.1</v>
      </c>
      <c r="C81" s="3">
        <v>10.9</v>
      </c>
      <c r="D81" s="3">
        <v>91.0</v>
      </c>
      <c r="E81" s="3">
        <f t="shared" si="1"/>
        <v>37</v>
      </c>
      <c r="F81" s="3">
        <f t="shared" si="5"/>
        <v>64</v>
      </c>
      <c r="G81" s="3" t="str">
        <f t="shared" si="3"/>
        <v>B+</v>
      </c>
      <c r="H81" s="3" t="str">
        <f t="shared" si="4"/>
        <v>P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>
        <v>81.0</v>
      </c>
      <c r="B82" s="3">
        <v>23.2</v>
      </c>
      <c r="C82" s="3">
        <v>33.9</v>
      </c>
      <c r="D82" s="3">
        <v>74.8</v>
      </c>
      <c r="E82" s="3">
        <f t="shared" si="1"/>
        <v>29</v>
      </c>
      <c r="F82" s="3">
        <f t="shared" si="5"/>
        <v>51.9</v>
      </c>
      <c r="G82" s="3" t="str">
        <f t="shared" si="3"/>
        <v>B</v>
      </c>
      <c r="H82" s="3" t="str">
        <f t="shared" si="4"/>
        <v>P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>
        <v>82.0</v>
      </c>
      <c r="B83" s="3">
        <v>37.1</v>
      </c>
      <c r="C83" s="3">
        <v>39.5</v>
      </c>
      <c r="D83" s="3">
        <v>58.5</v>
      </c>
      <c r="E83" s="3">
        <f t="shared" si="1"/>
        <v>38</v>
      </c>
      <c r="F83" s="3">
        <f t="shared" si="5"/>
        <v>48.3</v>
      </c>
      <c r="G83" s="3" t="str">
        <f t="shared" si="3"/>
        <v>C</v>
      </c>
      <c r="H83" s="3" t="str">
        <f t="shared" si="4"/>
        <v>P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>
        <v>83.0</v>
      </c>
      <c r="B84" s="3">
        <v>98.1</v>
      </c>
      <c r="C84" s="3">
        <v>45.7</v>
      </c>
      <c r="D84" s="3">
        <v>29.9</v>
      </c>
      <c r="E84" s="3">
        <f t="shared" si="1"/>
        <v>69</v>
      </c>
      <c r="F84" s="3">
        <f t="shared" si="5"/>
        <v>49.5</v>
      </c>
      <c r="G84" s="3" t="str">
        <f t="shared" si="3"/>
        <v>C</v>
      </c>
      <c r="H84" s="3" t="str">
        <f t="shared" si="4"/>
        <v>P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>
        <v>84.0</v>
      </c>
      <c r="B85" s="3">
        <v>64.3</v>
      </c>
      <c r="C85" s="3">
        <v>32.9</v>
      </c>
      <c r="D85" s="3">
        <v>45.2</v>
      </c>
      <c r="E85" s="3">
        <f t="shared" si="1"/>
        <v>47</v>
      </c>
      <c r="F85" s="3">
        <f t="shared" si="5"/>
        <v>46.1</v>
      </c>
      <c r="G85" s="3" t="str">
        <f t="shared" si="3"/>
        <v>C</v>
      </c>
      <c r="H85" s="3" t="str">
        <f t="shared" si="4"/>
        <v>P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>
        <v>85.0</v>
      </c>
      <c r="B86" s="3">
        <v>30.1</v>
      </c>
      <c r="C86" s="3">
        <v>53.9</v>
      </c>
      <c r="D86" s="3">
        <v>45.4</v>
      </c>
      <c r="E86" s="3">
        <f t="shared" si="1"/>
        <v>43</v>
      </c>
      <c r="F86" s="3">
        <f t="shared" si="5"/>
        <v>44.2</v>
      </c>
      <c r="G86" s="3" t="str">
        <f t="shared" si="3"/>
        <v>C</v>
      </c>
      <c r="H86" s="3" t="str">
        <f t="shared" si="4"/>
        <v>F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>
        <v>86.0</v>
      </c>
      <c r="B87" s="3">
        <v>29.3</v>
      </c>
      <c r="C87" s="3">
        <v>39.6</v>
      </c>
      <c r="D87" s="3">
        <v>72.3</v>
      </c>
      <c r="E87" s="3">
        <f t="shared" si="1"/>
        <v>35</v>
      </c>
      <c r="F87" s="3">
        <f t="shared" si="5"/>
        <v>53.7</v>
      </c>
      <c r="G87" s="3" t="str">
        <f t="shared" si="3"/>
        <v>B</v>
      </c>
      <c r="H87" s="3" t="str">
        <f t="shared" si="4"/>
        <v>P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>
        <v>87.0</v>
      </c>
      <c r="B88" s="3">
        <v>54.2</v>
      </c>
      <c r="C88" s="3">
        <v>37.2</v>
      </c>
      <c r="D88" s="3">
        <v>18.0</v>
      </c>
      <c r="E88" s="3">
        <f t="shared" si="1"/>
        <v>45</v>
      </c>
      <c r="F88" s="3">
        <f t="shared" si="5"/>
        <v>31.5</v>
      </c>
      <c r="G88" s="3" t="str">
        <f t="shared" si="3"/>
        <v>E</v>
      </c>
      <c r="H88" s="3" t="str">
        <f t="shared" si="4"/>
        <v>F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>
        <v>88.0</v>
      </c>
      <c r="B89" s="3">
        <v>17.3</v>
      </c>
      <c r="C89" s="3">
        <v>11.6</v>
      </c>
      <c r="D89" s="3">
        <v>88.4</v>
      </c>
      <c r="E89" s="3">
        <f t="shared" si="1"/>
        <v>14</v>
      </c>
      <c r="F89" s="3">
        <f t="shared" si="5"/>
        <v>51.2</v>
      </c>
      <c r="G89" s="3" t="str">
        <f t="shared" si="3"/>
        <v>B</v>
      </c>
      <c r="H89" s="3" t="str">
        <f t="shared" si="4"/>
        <v>P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>
        <v>89.0</v>
      </c>
      <c r="B90" s="3">
        <v>17.0</v>
      </c>
      <c r="C90" s="3">
        <v>73.6</v>
      </c>
      <c r="D90" s="3">
        <v>51.6</v>
      </c>
      <c r="E90" s="3">
        <f t="shared" si="1"/>
        <v>48</v>
      </c>
      <c r="F90" s="3">
        <f t="shared" si="5"/>
        <v>49.8</v>
      </c>
      <c r="G90" s="3" t="str">
        <f t="shared" si="3"/>
        <v>C</v>
      </c>
      <c r="H90" s="3" t="str">
        <f t="shared" si="4"/>
        <v>P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>
        <v>90.0</v>
      </c>
      <c r="B91" s="3">
        <v>59.8</v>
      </c>
      <c r="C91" s="3">
        <v>77.5</v>
      </c>
      <c r="D91" s="3">
        <v>60.6</v>
      </c>
      <c r="E91" s="3">
        <f t="shared" si="1"/>
        <v>70</v>
      </c>
      <c r="F91" s="3">
        <f t="shared" si="5"/>
        <v>65.3</v>
      </c>
      <c r="G91" s="3" t="str">
        <f t="shared" si="3"/>
        <v>B+</v>
      </c>
      <c r="H91" s="3" t="str">
        <f t="shared" si="4"/>
        <v>P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>
        <v>91.0</v>
      </c>
      <c r="B92" s="3">
        <v>20.5</v>
      </c>
      <c r="C92" s="3">
        <v>11.5</v>
      </c>
      <c r="D92" s="3">
        <v>85.7</v>
      </c>
      <c r="E92" s="3">
        <f t="shared" si="1"/>
        <v>16</v>
      </c>
      <c r="F92" s="3">
        <f t="shared" si="5"/>
        <v>50.9</v>
      </c>
      <c r="G92" s="3" t="str">
        <f t="shared" si="3"/>
        <v>B</v>
      </c>
      <c r="H92" s="3" t="str">
        <f t="shared" si="4"/>
        <v>P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>
        <v>92.0</v>
      </c>
      <c r="B93" s="3">
        <v>86.9</v>
      </c>
      <c r="C93" s="3">
        <v>33.2</v>
      </c>
      <c r="D93" s="3">
        <v>34.1</v>
      </c>
      <c r="E93" s="3">
        <f t="shared" si="1"/>
        <v>57</v>
      </c>
      <c r="F93" s="3">
        <f t="shared" si="5"/>
        <v>45.6</v>
      </c>
      <c r="G93" s="3" t="str">
        <f t="shared" si="3"/>
        <v>C</v>
      </c>
      <c r="H93" s="3" t="str">
        <f t="shared" si="4"/>
        <v>P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>
        <v>93.0</v>
      </c>
      <c r="B94" s="3">
        <v>40.7</v>
      </c>
      <c r="C94" s="3">
        <v>17.4</v>
      </c>
      <c r="D94" s="3">
        <v>24.1</v>
      </c>
      <c r="E94" s="3">
        <f t="shared" si="1"/>
        <v>28</v>
      </c>
      <c r="F94" s="3">
        <f t="shared" si="5"/>
        <v>26.1</v>
      </c>
      <c r="G94" s="3" t="str">
        <f t="shared" si="3"/>
        <v>E</v>
      </c>
      <c r="H94" s="3" t="str">
        <f t="shared" si="4"/>
        <v>F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>
        <v>94.0</v>
      </c>
      <c r="B95" s="3">
        <v>26.3</v>
      </c>
      <c r="C95" s="3">
        <v>63.4</v>
      </c>
      <c r="D95" s="3">
        <v>69.2</v>
      </c>
      <c r="E95" s="3">
        <f t="shared" si="1"/>
        <v>47</v>
      </c>
      <c r="F95" s="3">
        <f t="shared" si="5"/>
        <v>58.1</v>
      </c>
      <c r="G95" s="3" t="str">
        <f t="shared" si="3"/>
        <v>B</v>
      </c>
      <c r="H95" s="3" t="str">
        <f t="shared" si="4"/>
        <v>P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>
        <v>95.0</v>
      </c>
      <c r="B96" s="3">
        <v>16.1</v>
      </c>
      <c r="C96" s="3">
        <v>29.1</v>
      </c>
      <c r="D96" s="3">
        <v>52.5</v>
      </c>
      <c r="E96" s="3">
        <f t="shared" si="1"/>
        <v>23</v>
      </c>
      <c r="F96" s="3">
        <f t="shared" si="5"/>
        <v>37.8</v>
      </c>
      <c r="G96" s="3" t="str">
        <f t="shared" si="3"/>
        <v>D</v>
      </c>
      <c r="H96" s="3" t="str">
        <f t="shared" si="4"/>
        <v>F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>
        <v>96.0</v>
      </c>
      <c r="B97" s="3">
        <v>82.8</v>
      </c>
      <c r="C97" s="3">
        <v>24.6</v>
      </c>
      <c r="D97" s="3">
        <v>72.5</v>
      </c>
      <c r="E97" s="3">
        <f t="shared" si="1"/>
        <v>51</v>
      </c>
      <c r="F97" s="3">
        <f t="shared" si="5"/>
        <v>61.8</v>
      </c>
      <c r="G97" s="3" t="str">
        <f t="shared" si="3"/>
        <v>B+</v>
      </c>
      <c r="H97" s="3" t="str">
        <f t="shared" si="4"/>
        <v>P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>
        <v>97.0</v>
      </c>
      <c r="B98" s="3">
        <v>14.4</v>
      </c>
      <c r="C98" s="3">
        <v>89.7</v>
      </c>
      <c r="D98" s="3">
        <v>23.1</v>
      </c>
      <c r="E98" s="3">
        <f t="shared" si="1"/>
        <v>56</v>
      </c>
      <c r="F98" s="3">
        <f t="shared" si="5"/>
        <v>39.6</v>
      </c>
      <c r="G98" s="3" t="str">
        <f t="shared" si="3"/>
        <v>D</v>
      </c>
      <c r="H98" s="3" t="str">
        <f t="shared" si="4"/>
        <v>F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>
        <v>98.0</v>
      </c>
      <c r="B99" s="3">
        <v>22.7</v>
      </c>
      <c r="C99" s="3">
        <v>31.7</v>
      </c>
      <c r="D99" s="3">
        <v>35.9</v>
      </c>
      <c r="E99" s="3">
        <f t="shared" si="1"/>
        <v>28</v>
      </c>
      <c r="F99" s="3">
        <f t="shared" si="5"/>
        <v>32</v>
      </c>
      <c r="G99" s="3" t="str">
        <f t="shared" si="3"/>
        <v>E</v>
      </c>
      <c r="H99" s="3" t="str">
        <f t="shared" si="4"/>
        <v>F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>
        <v>99.0</v>
      </c>
      <c r="B100" s="3">
        <v>94.1</v>
      </c>
      <c r="C100" s="3">
        <v>95.7</v>
      </c>
      <c r="D100" s="3">
        <v>75.3</v>
      </c>
      <c r="E100" s="3">
        <f t="shared" si="1"/>
        <v>95</v>
      </c>
      <c r="F100" s="3">
        <f t="shared" si="5"/>
        <v>85.2</v>
      </c>
      <c r="G100" s="3" t="str">
        <f t="shared" si="3"/>
        <v>A</v>
      </c>
      <c r="H100" s="3" t="str">
        <f t="shared" si="4"/>
        <v>P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>
        <v>100.0</v>
      </c>
      <c r="B101" s="3">
        <v>58.0</v>
      </c>
      <c r="C101" s="3">
        <v>81.3</v>
      </c>
      <c r="D101" s="3">
        <v>46.6</v>
      </c>
      <c r="E101" s="3">
        <f t="shared" si="1"/>
        <v>71</v>
      </c>
      <c r="F101" s="3">
        <f t="shared" si="5"/>
        <v>58.8</v>
      </c>
      <c r="G101" s="3" t="str">
        <f t="shared" si="3"/>
        <v>B</v>
      </c>
      <c r="H101" s="3" t="str">
        <f t="shared" si="4"/>
        <v>P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>
        <v>101.0</v>
      </c>
      <c r="B102" s="3">
        <v>32.0</v>
      </c>
      <c r="C102" s="3">
        <v>25.1</v>
      </c>
      <c r="D102" s="3">
        <v>44.6</v>
      </c>
      <c r="E102" s="3">
        <f t="shared" si="1"/>
        <v>28</v>
      </c>
      <c r="F102" s="3">
        <f t="shared" si="5"/>
        <v>36.3</v>
      </c>
      <c r="G102" s="3" t="str">
        <f t="shared" si="3"/>
        <v>D</v>
      </c>
      <c r="H102" s="3" t="str">
        <f t="shared" si="4"/>
        <v>F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>
        <v>102.0</v>
      </c>
      <c r="B103" s="3">
        <v>88.6</v>
      </c>
      <c r="C103" s="3">
        <v>63.1</v>
      </c>
      <c r="D103" s="3">
        <v>27.1</v>
      </c>
      <c r="E103" s="3">
        <f t="shared" si="1"/>
        <v>75</v>
      </c>
      <c r="F103" s="3">
        <f t="shared" si="5"/>
        <v>51.1</v>
      </c>
      <c r="G103" s="3" t="str">
        <f t="shared" si="3"/>
        <v>B</v>
      </c>
      <c r="H103" s="3" t="str">
        <f t="shared" si="4"/>
        <v>P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>
        <v>103.0</v>
      </c>
      <c r="B104" s="3">
        <v>64.1</v>
      </c>
      <c r="C104" s="3">
        <v>27.5</v>
      </c>
      <c r="D104" s="3">
        <v>11.9</v>
      </c>
      <c r="E104" s="3">
        <f t="shared" si="1"/>
        <v>44</v>
      </c>
      <c r="F104" s="3">
        <f t="shared" si="5"/>
        <v>28</v>
      </c>
      <c r="G104" s="3" t="str">
        <f t="shared" si="3"/>
        <v>E</v>
      </c>
      <c r="H104" s="3" t="str">
        <f t="shared" si="4"/>
        <v>F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>
        <v>104.0</v>
      </c>
      <c r="B105" s="3">
        <v>92.5</v>
      </c>
      <c r="C105" s="3">
        <v>56.8</v>
      </c>
      <c r="D105" s="3">
        <v>59.4</v>
      </c>
      <c r="E105" s="3">
        <f t="shared" si="1"/>
        <v>73</v>
      </c>
      <c r="F105" s="3">
        <f t="shared" si="5"/>
        <v>66.2</v>
      </c>
      <c r="G105" s="3" t="str">
        <f t="shared" si="3"/>
        <v>B+</v>
      </c>
      <c r="H105" s="3" t="str">
        <f t="shared" si="4"/>
        <v>P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>
        <v>105.0</v>
      </c>
      <c r="B106" s="3">
        <v>42.3</v>
      </c>
      <c r="C106" s="3">
        <v>33.4</v>
      </c>
      <c r="D106" s="3">
        <v>99.6</v>
      </c>
      <c r="E106" s="3">
        <f t="shared" si="1"/>
        <v>37</v>
      </c>
      <c r="F106" s="3">
        <f t="shared" si="5"/>
        <v>68.3</v>
      </c>
      <c r="G106" s="3" t="str">
        <f t="shared" si="3"/>
        <v>B+</v>
      </c>
      <c r="H106" s="3" t="str">
        <f t="shared" si="4"/>
        <v>P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>
        <v>106.0</v>
      </c>
      <c r="B107" s="3">
        <v>55.3</v>
      </c>
      <c r="C107" s="3">
        <v>10.3</v>
      </c>
      <c r="D107" s="3">
        <v>80.3</v>
      </c>
      <c r="E107" s="3">
        <f t="shared" si="1"/>
        <v>31</v>
      </c>
      <c r="F107" s="3">
        <f t="shared" si="5"/>
        <v>55.7</v>
      </c>
      <c r="G107" s="3" t="str">
        <f t="shared" si="3"/>
        <v>B</v>
      </c>
      <c r="H107" s="3" t="str">
        <f t="shared" si="4"/>
        <v>P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>
        <v>107.0</v>
      </c>
      <c r="B108" s="3">
        <v>87.5</v>
      </c>
      <c r="C108" s="3">
        <v>11.5</v>
      </c>
      <c r="D108" s="3">
        <v>90.5</v>
      </c>
      <c r="E108" s="3">
        <f t="shared" si="1"/>
        <v>46</v>
      </c>
      <c r="F108" s="3">
        <f t="shared" si="5"/>
        <v>68.3</v>
      </c>
      <c r="G108" s="3" t="str">
        <f t="shared" si="3"/>
        <v>B+</v>
      </c>
      <c r="H108" s="3" t="str">
        <f t="shared" si="4"/>
        <v>P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>
        <v>108.0</v>
      </c>
      <c r="B109" s="3">
        <v>68.4</v>
      </c>
      <c r="C109" s="3">
        <v>22.8</v>
      </c>
      <c r="D109" s="3">
        <v>78.8</v>
      </c>
      <c r="E109" s="3">
        <f t="shared" si="1"/>
        <v>43</v>
      </c>
      <c r="F109" s="3">
        <f t="shared" si="5"/>
        <v>60.9</v>
      </c>
      <c r="G109" s="3" t="str">
        <f t="shared" si="3"/>
        <v>B+</v>
      </c>
      <c r="H109" s="3" t="str">
        <f t="shared" si="4"/>
        <v>P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>
        <v>109.0</v>
      </c>
      <c r="B110" s="3">
        <v>20.8</v>
      </c>
      <c r="C110" s="3">
        <v>79.9</v>
      </c>
      <c r="D110" s="3">
        <v>35.4</v>
      </c>
      <c r="E110" s="3">
        <f t="shared" si="1"/>
        <v>53</v>
      </c>
      <c r="F110" s="3">
        <f t="shared" si="5"/>
        <v>44.2</v>
      </c>
      <c r="G110" s="3" t="str">
        <f t="shared" si="3"/>
        <v>C</v>
      </c>
      <c r="H110" s="3" t="str">
        <f t="shared" si="4"/>
        <v>F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>
        <v>110.0</v>
      </c>
      <c r="B111" s="3">
        <v>39.7</v>
      </c>
      <c r="C111" s="3">
        <v>61.3</v>
      </c>
      <c r="D111" s="3">
        <v>23.7</v>
      </c>
      <c r="E111" s="3">
        <f t="shared" si="1"/>
        <v>52</v>
      </c>
      <c r="F111" s="3">
        <f t="shared" si="5"/>
        <v>37.9</v>
      </c>
      <c r="G111" s="3" t="str">
        <f t="shared" si="3"/>
        <v>D</v>
      </c>
      <c r="H111" s="3" t="str">
        <f t="shared" si="4"/>
        <v>F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>
        <v>111.0</v>
      </c>
      <c r="B112" s="3">
        <v>41.3</v>
      </c>
      <c r="C112" s="3">
        <v>94.6</v>
      </c>
      <c r="D112" s="3">
        <v>59.8</v>
      </c>
      <c r="E112" s="3">
        <f t="shared" si="1"/>
        <v>71</v>
      </c>
      <c r="F112" s="3">
        <f t="shared" si="5"/>
        <v>65.4</v>
      </c>
      <c r="G112" s="3" t="str">
        <f t="shared" si="3"/>
        <v>B+</v>
      </c>
      <c r="H112" s="3" t="str">
        <f t="shared" si="4"/>
        <v>P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>
        <v>112.0</v>
      </c>
      <c r="B113" s="3">
        <v>18.2</v>
      </c>
      <c r="C113" s="3">
        <v>89.5</v>
      </c>
      <c r="D113" s="3">
        <v>86.5</v>
      </c>
      <c r="E113" s="3">
        <f t="shared" si="1"/>
        <v>57</v>
      </c>
      <c r="F113" s="3">
        <f t="shared" si="5"/>
        <v>71.8</v>
      </c>
      <c r="G113" s="3" t="str">
        <f t="shared" si="3"/>
        <v>A</v>
      </c>
      <c r="H113" s="3" t="str">
        <f t="shared" si="4"/>
        <v>P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>
        <v>113.0</v>
      </c>
      <c r="B114" s="3">
        <v>78.5</v>
      </c>
      <c r="C114" s="3">
        <v>82.2</v>
      </c>
      <c r="D114" s="3">
        <v>97.7</v>
      </c>
      <c r="E114" s="3">
        <f t="shared" si="1"/>
        <v>81</v>
      </c>
      <c r="F114" s="3">
        <f t="shared" si="5"/>
        <v>89.4</v>
      </c>
      <c r="G114" s="3" t="str">
        <f t="shared" si="3"/>
        <v>A</v>
      </c>
      <c r="H114" s="3" t="str">
        <f t="shared" si="4"/>
        <v>P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>
        <v>114.0</v>
      </c>
      <c r="B115" s="3">
        <v>34.2</v>
      </c>
      <c r="C115" s="3">
        <v>45.7</v>
      </c>
      <c r="D115" s="3">
        <v>77.0</v>
      </c>
      <c r="E115" s="3">
        <f t="shared" si="1"/>
        <v>41</v>
      </c>
      <c r="F115" s="3">
        <f t="shared" si="5"/>
        <v>59</v>
      </c>
      <c r="G115" s="3" t="str">
        <f t="shared" si="3"/>
        <v>B</v>
      </c>
      <c r="H115" s="3" t="str">
        <f t="shared" si="4"/>
        <v>P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>
        <v>115.0</v>
      </c>
      <c r="B116" s="3">
        <v>47.8</v>
      </c>
      <c r="C116" s="3">
        <v>58.4</v>
      </c>
      <c r="D116" s="3">
        <v>99.3</v>
      </c>
      <c r="E116" s="3">
        <f t="shared" si="1"/>
        <v>54</v>
      </c>
      <c r="F116" s="3">
        <f t="shared" si="5"/>
        <v>76.7</v>
      </c>
      <c r="G116" s="3" t="str">
        <f t="shared" si="3"/>
        <v>A</v>
      </c>
      <c r="H116" s="3" t="str">
        <f t="shared" si="4"/>
        <v>P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>
        <v>116.0</v>
      </c>
      <c r="B117" s="3">
        <v>52.0</v>
      </c>
      <c r="C117" s="3">
        <v>83.9</v>
      </c>
      <c r="D117" s="3">
        <v>68.6</v>
      </c>
      <c r="E117" s="3">
        <f t="shared" si="1"/>
        <v>70</v>
      </c>
      <c r="F117" s="3">
        <f t="shared" si="5"/>
        <v>69.3</v>
      </c>
      <c r="G117" s="3" t="str">
        <f t="shared" si="3"/>
        <v>B+</v>
      </c>
      <c r="H117" s="3" t="str">
        <f t="shared" si="4"/>
        <v>P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>
        <v>117.0</v>
      </c>
      <c r="B118" s="3">
        <v>35.2</v>
      </c>
      <c r="C118" s="3">
        <v>98.3</v>
      </c>
      <c r="D118" s="3">
        <v>22.0</v>
      </c>
      <c r="E118" s="3">
        <f t="shared" si="1"/>
        <v>70</v>
      </c>
      <c r="F118" s="3">
        <f t="shared" si="5"/>
        <v>46</v>
      </c>
      <c r="G118" s="3" t="str">
        <f t="shared" si="3"/>
        <v>C</v>
      </c>
      <c r="H118" s="3" t="str">
        <f t="shared" si="4"/>
        <v>P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>
        <v>118.0</v>
      </c>
      <c r="B119" s="3">
        <v>21.0</v>
      </c>
      <c r="C119" s="3">
        <v>34.0</v>
      </c>
      <c r="D119" s="3">
        <v>93.8</v>
      </c>
      <c r="E119" s="3">
        <f t="shared" si="1"/>
        <v>28</v>
      </c>
      <c r="F119" s="3">
        <f t="shared" si="5"/>
        <v>60.9</v>
      </c>
      <c r="G119" s="3" t="str">
        <f t="shared" si="3"/>
        <v>B+</v>
      </c>
      <c r="H119" s="3" t="str">
        <f t="shared" si="4"/>
        <v>P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>
        <v>119.0</v>
      </c>
      <c r="B120" s="3">
        <v>80.5</v>
      </c>
      <c r="C120" s="3">
        <v>71.6</v>
      </c>
      <c r="D120" s="3">
        <v>90.9</v>
      </c>
      <c r="E120" s="3">
        <f t="shared" si="1"/>
        <v>76</v>
      </c>
      <c r="F120" s="3">
        <f t="shared" si="5"/>
        <v>83.5</v>
      </c>
      <c r="G120" s="3" t="str">
        <f t="shared" si="3"/>
        <v>A</v>
      </c>
      <c r="H120" s="3" t="str">
        <f t="shared" si="4"/>
        <v>P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>
        <v>120.0</v>
      </c>
      <c r="B121" s="3">
        <v>15.0</v>
      </c>
      <c r="C121" s="3">
        <v>27.4</v>
      </c>
      <c r="D121" s="3">
        <v>75.6</v>
      </c>
      <c r="E121" s="3">
        <f t="shared" si="1"/>
        <v>22</v>
      </c>
      <c r="F121" s="3">
        <f t="shared" si="5"/>
        <v>48.8</v>
      </c>
      <c r="G121" s="3" t="str">
        <f t="shared" si="3"/>
        <v>C</v>
      </c>
      <c r="H121" s="3" t="str">
        <f t="shared" si="4"/>
        <v>P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>
        <v>121.0</v>
      </c>
      <c r="B122" s="3">
        <v>78.9</v>
      </c>
      <c r="C122" s="3">
        <v>42.4</v>
      </c>
      <c r="D122" s="3">
        <v>25.8</v>
      </c>
      <c r="E122" s="3">
        <f t="shared" si="1"/>
        <v>59</v>
      </c>
      <c r="F122" s="3">
        <f t="shared" si="5"/>
        <v>42.4</v>
      </c>
      <c r="G122" s="3" t="str">
        <f t="shared" si="3"/>
        <v>C</v>
      </c>
      <c r="H122" s="3" t="str">
        <f t="shared" si="4"/>
        <v>F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>
        <v>122.0</v>
      </c>
      <c r="B123" s="3">
        <v>94.0</v>
      </c>
      <c r="C123" s="3">
        <v>46.1</v>
      </c>
      <c r="D123" s="3">
        <v>48.3</v>
      </c>
      <c r="E123" s="3">
        <f t="shared" si="1"/>
        <v>68</v>
      </c>
      <c r="F123" s="3">
        <f t="shared" si="5"/>
        <v>58.2</v>
      </c>
      <c r="G123" s="3" t="str">
        <f t="shared" si="3"/>
        <v>B</v>
      </c>
      <c r="H123" s="3" t="str">
        <f t="shared" si="4"/>
        <v>P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>
        <v>123.0</v>
      </c>
      <c r="B124" s="3">
        <v>39.2</v>
      </c>
      <c r="C124" s="3">
        <v>45.4</v>
      </c>
      <c r="D124" s="3">
        <v>97.8</v>
      </c>
      <c r="E124" s="3">
        <f t="shared" si="1"/>
        <v>43</v>
      </c>
      <c r="F124" s="3">
        <f t="shared" si="5"/>
        <v>70.4</v>
      </c>
      <c r="G124" s="3" t="str">
        <f t="shared" si="3"/>
        <v>A</v>
      </c>
      <c r="H124" s="3" t="str">
        <f t="shared" si="4"/>
        <v>P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>
        <v>124.0</v>
      </c>
      <c r="B125" s="3">
        <v>43.8</v>
      </c>
      <c r="C125" s="3">
        <v>91.8</v>
      </c>
      <c r="D125" s="3">
        <v>99.8</v>
      </c>
      <c r="E125" s="3">
        <f t="shared" si="1"/>
        <v>70</v>
      </c>
      <c r="F125" s="3">
        <f t="shared" si="5"/>
        <v>84.9</v>
      </c>
      <c r="G125" s="3" t="str">
        <f t="shared" si="3"/>
        <v>A</v>
      </c>
      <c r="H125" s="3" t="str">
        <f t="shared" si="4"/>
        <v>P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>
        <v>125.0</v>
      </c>
      <c r="B126" s="3">
        <v>60.5</v>
      </c>
      <c r="C126" s="3">
        <v>91.8</v>
      </c>
      <c r="D126" s="3">
        <v>40.9</v>
      </c>
      <c r="E126" s="3">
        <f t="shared" si="1"/>
        <v>78</v>
      </c>
      <c r="F126" s="3">
        <f t="shared" si="5"/>
        <v>59.5</v>
      </c>
      <c r="G126" s="3" t="str">
        <f t="shared" si="3"/>
        <v>B</v>
      </c>
      <c r="H126" s="3" t="str">
        <f t="shared" si="4"/>
        <v>P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>
        <v>126.0</v>
      </c>
      <c r="B127" s="3">
        <v>56.0</v>
      </c>
      <c r="C127" s="3">
        <v>53.3</v>
      </c>
      <c r="D127" s="3">
        <v>27.6</v>
      </c>
      <c r="E127" s="3">
        <f t="shared" si="1"/>
        <v>55</v>
      </c>
      <c r="F127" s="3">
        <f t="shared" si="5"/>
        <v>41.3</v>
      </c>
      <c r="G127" s="3" t="str">
        <f t="shared" si="3"/>
        <v>C</v>
      </c>
      <c r="H127" s="3" t="str">
        <f t="shared" si="4"/>
        <v>F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>
        <v>127.0</v>
      </c>
      <c r="B128" s="3">
        <v>63.3</v>
      </c>
      <c r="C128" s="3">
        <v>16.2</v>
      </c>
      <c r="D128" s="3">
        <v>16.4</v>
      </c>
      <c r="E128" s="3">
        <f t="shared" si="1"/>
        <v>37</v>
      </c>
      <c r="F128" s="3">
        <f t="shared" si="5"/>
        <v>26.7</v>
      </c>
      <c r="G128" s="3" t="str">
        <f t="shared" si="3"/>
        <v>E</v>
      </c>
      <c r="H128" s="3" t="str">
        <f t="shared" si="4"/>
        <v>F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>
        <v>128.0</v>
      </c>
      <c r="B129" s="3">
        <v>32.5</v>
      </c>
      <c r="C129" s="3">
        <v>33.7</v>
      </c>
      <c r="D129" s="3">
        <v>78.4</v>
      </c>
      <c r="E129" s="3">
        <f t="shared" si="1"/>
        <v>33</v>
      </c>
      <c r="F129" s="3">
        <f t="shared" si="5"/>
        <v>55.7</v>
      </c>
      <c r="G129" s="3" t="str">
        <f t="shared" si="3"/>
        <v>B</v>
      </c>
      <c r="H129" s="3" t="str">
        <f t="shared" si="4"/>
        <v>P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>
        <v>129.0</v>
      </c>
      <c r="B130" s="3">
        <v>68.6</v>
      </c>
      <c r="C130" s="3">
        <v>26.0</v>
      </c>
      <c r="D130" s="3">
        <v>23.1</v>
      </c>
      <c r="E130" s="3">
        <f t="shared" si="1"/>
        <v>45</v>
      </c>
      <c r="F130" s="3">
        <f t="shared" si="5"/>
        <v>34.1</v>
      </c>
      <c r="G130" s="3" t="str">
        <f t="shared" si="3"/>
        <v>E</v>
      </c>
      <c r="H130" s="3" t="str">
        <f t="shared" si="4"/>
        <v>F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>
        <v>130.0</v>
      </c>
      <c r="B131" s="3">
        <v>49.3</v>
      </c>
      <c r="C131" s="3">
        <v>89.4</v>
      </c>
      <c r="D131" s="3">
        <v>12.2</v>
      </c>
      <c r="E131" s="3">
        <f t="shared" si="1"/>
        <v>71</v>
      </c>
      <c r="F131" s="3">
        <f t="shared" si="5"/>
        <v>41.6</v>
      </c>
      <c r="G131" s="3" t="str">
        <f t="shared" si="3"/>
        <v>C</v>
      </c>
      <c r="H131" s="3" t="str">
        <f t="shared" si="4"/>
        <v>F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>
        <v>131.0</v>
      </c>
      <c r="B132" s="3">
        <v>31.8</v>
      </c>
      <c r="C132" s="3">
        <v>47.3</v>
      </c>
      <c r="D132" s="3">
        <v>26.4</v>
      </c>
      <c r="E132" s="3">
        <f t="shared" si="1"/>
        <v>40</v>
      </c>
      <c r="F132" s="3">
        <f t="shared" si="5"/>
        <v>33.2</v>
      </c>
      <c r="G132" s="3" t="str">
        <f t="shared" si="3"/>
        <v>E</v>
      </c>
      <c r="H132" s="3" t="str">
        <f t="shared" si="4"/>
        <v>F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>
        <v>132.0</v>
      </c>
      <c r="B133" s="3">
        <v>64.8</v>
      </c>
      <c r="C133" s="3">
        <v>18.0</v>
      </c>
      <c r="D133" s="3">
        <v>91.9</v>
      </c>
      <c r="E133" s="3">
        <f t="shared" si="1"/>
        <v>39</v>
      </c>
      <c r="F133" s="3">
        <f t="shared" si="5"/>
        <v>65.5</v>
      </c>
      <c r="G133" s="3" t="str">
        <f t="shared" si="3"/>
        <v>B+</v>
      </c>
      <c r="H133" s="3" t="str">
        <f t="shared" si="4"/>
        <v>P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>
        <v>133.0</v>
      </c>
      <c r="B134" s="3">
        <v>29.2</v>
      </c>
      <c r="C134" s="3">
        <v>60.8</v>
      </c>
      <c r="D134" s="3">
        <v>77.7</v>
      </c>
      <c r="E134" s="3">
        <f t="shared" si="1"/>
        <v>47</v>
      </c>
      <c r="F134" s="3">
        <f t="shared" si="5"/>
        <v>62.4</v>
      </c>
      <c r="G134" s="3" t="str">
        <f t="shared" si="3"/>
        <v>B+</v>
      </c>
      <c r="H134" s="3" t="str">
        <f t="shared" si="4"/>
        <v>P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>
        <v>134.0</v>
      </c>
      <c r="B135" s="3">
        <v>29.0</v>
      </c>
      <c r="C135" s="3">
        <v>87.8</v>
      </c>
      <c r="D135" s="3">
        <v>31.3</v>
      </c>
      <c r="E135" s="3">
        <f t="shared" si="1"/>
        <v>61</v>
      </c>
      <c r="F135" s="3">
        <f t="shared" si="5"/>
        <v>46.2</v>
      </c>
      <c r="G135" s="3" t="str">
        <f t="shared" si="3"/>
        <v>C</v>
      </c>
      <c r="H135" s="3" t="str">
        <f t="shared" si="4"/>
        <v>P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>
        <v>135.0</v>
      </c>
      <c r="B136" s="3">
        <v>92.5</v>
      </c>
      <c r="C136" s="3">
        <v>20.5</v>
      </c>
      <c r="D136" s="3">
        <v>24.4</v>
      </c>
      <c r="E136" s="3">
        <f t="shared" si="1"/>
        <v>53</v>
      </c>
      <c r="F136" s="3">
        <f t="shared" si="5"/>
        <v>38.7</v>
      </c>
      <c r="G136" s="3" t="str">
        <f t="shared" si="3"/>
        <v>D</v>
      </c>
      <c r="H136" s="3" t="str">
        <f t="shared" si="4"/>
        <v>F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>
        <v>136.0</v>
      </c>
      <c r="B137" s="3">
        <v>28.9</v>
      </c>
      <c r="C137" s="3">
        <v>38.5</v>
      </c>
      <c r="D137" s="3">
        <v>13.1</v>
      </c>
      <c r="E137" s="3">
        <f t="shared" si="1"/>
        <v>34</v>
      </c>
      <c r="F137" s="3">
        <f t="shared" si="5"/>
        <v>23.6</v>
      </c>
      <c r="G137" s="3" t="str">
        <f t="shared" si="3"/>
        <v>E</v>
      </c>
      <c r="H137" s="3" t="str">
        <f t="shared" si="4"/>
        <v>F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>
        <v>137.0</v>
      </c>
      <c r="B138" s="3">
        <v>72.3</v>
      </c>
      <c r="C138" s="3">
        <v>63.3</v>
      </c>
      <c r="D138" s="3">
        <v>61.0</v>
      </c>
      <c r="E138" s="3">
        <f t="shared" si="1"/>
        <v>67</v>
      </c>
      <c r="F138" s="3">
        <f t="shared" si="5"/>
        <v>64</v>
      </c>
      <c r="G138" s="3" t="str">
        <f t="shared" si="3"/>
        <v>B+</v>
      </c>
      <c r="H138" s="3" t="str">
        <f t="shared" si="4"/>
        <v>P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>
        <v>138.0</v>
      </c>
      <c r="B139" s="3">
        <v>26.0</v>
      </c>
      <c r="C139" s="3">
        <v>50.6</v>
      </c>
      <c r="D139" s="3">
        <v>52.0</v>
      </c>
      <c r="E139" s="3">
        <f t="shared" si="1"/>
        <v>40</v>
      </c>
      <c r="F139" s="3">
        <f t="shared" si="5"/>
        <v>46</v>
      </c>
      <c r="G139" s="3" t="str">
        <f t="shared" si="3"/>
        <v>C</v>
      </c>
      <c r="H139" s="3" t="str">
        <f t="shared" si="4"/>
        <v>P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>
        <v>139.0</v>
      </c>
      <c r="B140" s="3">
        <v>91.9</v>
      </c>
      <c r="C140" s="3">
        <v>16.9</v>
      </c>
      <c r="D140" s="3">
        <v>52.2</v>
      </c>
      <c r="E140" s="3">
        <f t="shared" si="1"/>
        <v>51</v>
      </c>
      <c r="F140" s="3">
        <f t="shared" si="5"/>
        <v>51.6</v>
      </c>
      <c r="G140" s="3" t="str">
        <f t="shared" si="3"/>
        <v>B</v>
      </c>
      <c r="H140" s="3" t="str">
        <f t="shared" si="4"/>
        <v>P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>
        <v>140.0</v>
      </c>
      <c r="B141" s="3">
        <v>41.1</v>
      </c>
      <c r="C141" s="3">
        <v>68.7</v>
      </c>
      <c r="D141" s="3">
        <v>28.6</v>
      </c>
      <c r="E141" s="3">
        <f t="shared" si="1"/>
        <v>56</v>
      </c>
      <c r="F141" s="3">
        <f t="shared" si="5"/>
        <v>42.3</v>
      </c>
      <c r="G141" s="3" t="str">
        <f t="shared" si="3"/>
        <v>C</v>
      </c>
      <c r="H141" s="3" t="str">
        <f t="shared" si="4"/>
        <v>F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>
        <v>141.0</v>
      </c>
      <c r="B142" s="3">
        <v>54.8</v>
      </c>
      <c r="C142" s="3">
        <v>82.3</v>
      </c>
      <c r="D142" s="3">
        <v>41.6</v>
      </c>
      <c r="E142" s="3">
        <f t="shared" si="1"/>
        <v>70</v>
      </c>
      <c r="F142" s="3">
        <f t="shared" si="5"/>
        <v>55.8</v>
      </c>
      <c r="G142" s="3" t="str">
        <f t="shared" si="3"/>
        <v>B</v>
      </c>
      <c r="H142" s="3" t="str">
        <f t="shared" si="4"/>
        <v>P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>
        <v>142.0</v>
      </c>
      <c r="B143" s="3">
        <v>21.5</v>
      </c>
      <c r="C143" s="3">
        <v>79.1</v>
      </c>
      <c r="D143" s="3">
        <v>13.1</v>
      </c>
      <c r="E143" s="3">
        <f t="shared" si="1"/>
        <v>53</v>
      </c>
      <c r="F143" s="3">
        <f t="shared" si="5"/>
        <v>33.1</v>
      </c>
      <c r="G143" s="3" t="str">
        <f t="shared" si="3"/>
        <v>E</v>
      </c>
      <c r="H143" s="3" t="str">
        <f t="shared" si="4"/>
        <v>F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>
        <v>143.0</v>
      </c>
      <c r="B144" s="3">
        <v>86.7</v>
      </c>
      <c r="C144" s="3">
        <v>56.9</v>
      </c>
      <c r="D144" s="3">
        <v>66.8</v>
      </c>
      <c r="E144" s="3">
        <f t="shared" si="1"/>
        <v>70</v>
      </c>
      <c r="F144" s="3">
        <f t="shared" si="5"/>
        <v>68.4</v>
      </c>
      <c r="G144" s="3" t="str">
        <f t="shared" si="3"/>
        <v>B+</v>
      </c>
      <c r="H144" s="3" t="str">
        <f t="shared" si="4"/>
        <v>P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>
        <v>144.0</v>
      </c>
      <c r="B145" s="3">
        <v>62.2</v>
      </c>
      <c r="C145" s="3">
        <v>32.5</v>
      </c>
      <c r="D145" s="3">
        <v>36.1</v>
      </c>
      <c r="E145" s="3">
        <f t="shared" si="1"/>
        <v>46</v>
      </c>
      <c r="F145" s="3">
        <f t="shared" si="5"/>
        <v>41.1</v>
      </c>
      <c r="G145" s="3" t="str">
        <f t="shared" si="3"/>
        <v>C</v>
      </c>
      <c r="H145" s="3" t="str">
        <f t="shared" si="4"/>
        <v>F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>
        <v>145.0</v>
      </c>
      <c r="B146" s="3">
        <v>10.4</v>
      </c>
      <c r="C146" s="3">
        <v>55.7</v>
      </c>
      <c r="D146" s="3">
        <v>10.1</v>
      </c>
      <c r="E146" s="3">
        <f t="shared" si="1"/>
        <v>35</v>
      </c>
      <c r="F146" s="3">
        <f t="shared" si="5"/>
        <v>22.6</v>
      </c>
      <c r="G146" s="3" t="str">
        <f t="shared" si="3"/>
        <v>E</v>
      </c>
      <c r="H146" s="3" t="str">
        <f t="shared" si="4"/>
        <v>F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>
        <v>146.0</v>
      </c>
      <c r="B147" s="3">
        <v>93.4</v>
      </c>
      <c r="C147" s="3">
        <v>52.0</v>
      </c>
      <c r="D147" s="3">
        <v>98.6</v>
      </c>
      <c r="E147" s="3">
        <f t="shared" si="1"/>
        <v>71</v>
      </c>
      <c r="F147" s="3">
        <f t="shared" si="5"/>
        <v>84.8</v>
      </c>
      <c r="G147" s="3" t="str">
        <f t="shared" si="3"/>
        <v>A</v>
      </c>
      <c r="H147" s="3" t="str">
        <f t="shared" si="4"/>
        <v>P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>
        <v>147.0</v>
      </c>
      <c r="B148" s="3">
        <v>62.1</v>
      </c>
      <c r="C148" s="3">
        <v>87.7</v>
      </c>
      <c r="D148" s="3">
        <v>67.5</v>
      </c>
      <c r="E148" s="3">
        <f t="shared" si="1"/>
        <v>76</v>
      </c>
      <c r="F148" s="3">
        <f t="shared" si="5"/>
        <v>71.8</v>
      </c>
      <c r="G148" s="3" t="str">
        <f t="shared" si="3"/>
        <v>A</v>
      </c>
      <c r="H148" s="3" t="str">
        <f t="shared" si="4"/>
        <v>P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>
        <v>148.0</v>
      </c>
      <c r="B149" s="3">
        <v>11.5</v>
      </c>
      <c r="C149" s="3">
        <v>82.5</v>
      </c>
      <c r="D149" s="3">
        <v>74.6</v>
      </c>
      <c r="E149" s="3">
        <f t="shared" si="1"/>
        <v>51</v>
      </c>
      <c r="F149" s="3">
        <f t="shared" si="5"/>
        <v>62.8</v>
      </c>
      <c r="G149" s="3" t="str">
        <f t="shared" si="3"/>
        <v>B+</v>
      </c>
      <c r="H149" s="3" t="str">
        <f t="shared" si="4"/>
        <v>P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>
        <v>149.0</v>
      </c>
      <c r="B150" s="3">
        <v>92.9</v>
      </c>
      <c r="C150" s="3">
        <v>38.0</v>
      </c>
      <c r="D150" s="3">
        <v>19.6</v>
      </c>
      <c r="E150" s="3">
        <f t="shared" si="1"/>
        <v>63</v>
      </c>
      <c r="F150" s="3">
        <f t="shared" si="5"/>
        <v>41.3</v>
      </c>
      <c r="G150" s="3" t="str">
        <f t="shared" si="3"/>
        <v>C</v>
      </c>
      <c r="H150" s="3" t="str">
        <f t="shared" si="4"/>
        <v>F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>
        <v>150.0</v>
      </c>
      <c r="B151" s="3">
        <v>18.3</v>
      </c>
      <c r="C151" s="3">
        <v>87.1</v>
      </c>
      <c r="D151" s="3">
        <v>23.1</v>
      </c>
      <c r="E151" s="3">
        <f t="shared" si="1"/>
        <v>56</v>
      </c>
      <c r="F151" s="3">
        <f t="shared" si="5"/>
        <v>39.6</v>
      </c>
      <c r="G151" s="3" t="str">
        <f t="shared" si="3"/>
        <v>D</v>
      </c>
      <c r="H151" s="3" t="str">
        <f t="shared" si="4"/>
        <v>F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>
        <v>151.0</v>
      </c>
      <c r="B152" s="3">
        <v>18.2</v>
      </c>
      <c r="C152" s="3">
        <v>52.2</v>
      </c>
      <c r="D152" s="3">
        <v>17.9</v>
      </c>
      <c r="E152" s="3">
        <f t="shared" si="1"/>
        <v>37</v>
      </c>
      <c r="F152" s="3">
        <f t="shared" si="5"/>
        <v>27.5</v>
      </c>
      <c r="G152" s="3" t="str">
        <f t="shared" si="3"/>
        <v>E</v>
      </c>
      <c r="H152" s="3" t="str">
        <f t="shared" si="4"/>
        <v>F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>
        <v>152.0</v>
      </c>
      <c r="B153" s="3">
        <v>14.0</v>
      </c>
      <c r="C153" s="3">
        <v>65.5</v>
      </c>
      <c r="D153" s="3">
        <v>37.3</v>
      </c>
      <c r="E153" s="3">
        <f t="shared" si="1"/>
        <v>42</v>
      </c>
      <c r="F153" s="3">
        <f t="shared" si="5"/>
        <v>39.7</v>
      </c>
      <c r="G153" s="3" t="str">
        <f t="shared" si="3"/>
        <v>D</v>
      </c>
      <c r="H153" s="3" t="str">
        <f t="shared" si="4"/>
        <v>F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>
        <v>153.0</v>
      </c>
      <c r="B154" s="3">
        <v>31.5</v>
      </c>
      <c r="C154" s="3">
        <v>34.4</v>
      </c>
      <c r="D154" s="3">
        <v>96.8</v>
      </c>
      <c r="E154" s="3">
        <f t="shared" si="1"/>
        <v>33</v>
      </c>
      <c r="F154" s="3">
        <f t="shared" si="5"/>
        <v>64.9</v>
      </c>
      <c r="G154" s="3" t="str">
        <f t="shared" si="3"/>
        <v>B+</v>
      </c>
      <c r="H154" s="3" t="str">
        <f t="shared" si="4"/>
        <v>P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>
        <v>154.0</v>
      </c>
      <c r="B155" s="3">
        <v>66.2</v>
      </c>
      <c r="C155" s="3">
        <v>95.7</v>
      </c>
      <c r="D155" s="3">
        <v>81.9</v>
      </c>
      <c r="E155" s="3">
        <f t="shared" si="1"/>
        <v>82</v>
      </c>
      <c r="F155" s="3">
        <f t="shared" si="5"/>
        <v>82</v>
      </c>
      <c r="G155" s="3" t="str">
        <f t="shared" si="3"/>
        <v>A</v>
      </c>
      <c r="H155" s="3" t="str">
        <f t="shared" si="4"/>
        <v>P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>
        <v>155.0</v>
      </c>
      <c r="B156" s="3">
        <v>95.9</v>
      </c>
      <c r="C156" s="3">
        <v>13.6</v>
      </c>
      <c r="D156" s="3">
        <v>53.4</v>
      </c>
      <c r="E156" s="3">
        <f t="shared" si="1"/>
        <v>51</v>
      </c>
      <c r="F156" s="3">
        <f t="shared" si="5"/>
        <v>52.2</v>
      </c>
      <c r="G156" s="3" t="str">
        <f t="shared" si="3"/>
        <v>B</v>
      </c>
      <c r="H156" s="3" t="str">
        <f t="shared" si="4"/>
        <v>P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>
        <v>156.0</v>
      </c>
      <c r="B157" s="3">
        <v>98.7</v>
      </c>
      <c r="C157" s="3">
        <v>68.4</v>
      </c>
      <c r="D157" s="3">
        <v>83.3</v>
      </c>
      <c r="E157" s="3">
        <f t="shared" si="1"/>
        <v>82</v>
      </c>
      <c r="F157" s="3">
        <f t="shared" si="5"/>
        <v>82.7</v>
      </c>
      <c r="G157" s="3" t="str">
        <f t="shared" si="3"/>
        <v>A</v>
      </c>
      <c r="H157" s="3" t="str">
        <f t="shared" si="4"/>
        <v>P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>
        <v>157.0</v>
      </c>
      <c r="B158" s="3">
        <v>75.0</v>
      </c>
      <c r="C158" s="3">
        <v>42.5</v>
      </c>
      <c r="D158" s="3">
        <v>87.5</v>
      </c>
      <c r="E158" s="3">
        <f t="shared" si="1"/>
        <v>57</v>
      </c>
      <c r="F158" s="3">
        <f t="shared" si="5"/>
        <v>72.3</v>
      </c>
      <c r="G158" s="3" t="str">
        <f t="shared" si="3"/>
        <v>A</v>
      </c>
      <c r="H158" s="3" t="str">
        <f t="shared" si="4"/>
        <v>P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>
        <v>158.0</v>
      </c>
      <c r="B159" s="3">
        <v>46.2</v>
      </c>
      <c r="C159" s="3">
        <v>81.7</v>
      </c>
      <c r="D159" s="3">
        <v>97.8</v>
      </c>
      <c r="E159" s="3">
        <f t="shared" si="1"/>
        <v>66</v>
      </c>
      <c r="F159" s="3">
        <f t="shared" si="5"/>
        <v>81.9</v>
      </c>
      <c r="G159" s="3" t="str">
        <f t="shared" si="3"/>
        <v>A</v>
      </c>
      <c r="H159" s="3" t="str">
        <f t="shared" si="4"/>
        <v>P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>
        <v>159.0</v>
      </c>
      <c r="B160" s="3">
        <v>84.5</v>
      </c>
      <c r="C160" s="3">
        <v>42.7</v>
      </c>
      <c r="D160" s="3">
        <v>51.1</v>
      </c>
      <c r="E160" s="3">
        <f t="shared" si="1"/>
        <v>62</v>
      </c>
      <c r="F160" s="3">
        <f t="shared" si="5"/>
        <v>56.6</v>
      </c>
      <c r="G160" s="3" t="str">
        <f t="shared" si="3"/>
        <v>B</v>
      </c>
      <c r="H160" s="3" t="str">
        <f t="shared" si="4"/>
        <v>P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>
        <v>160.0</v>
      </c>
      <c r="B161" s="3">
        <v>40.2</v>
      </c>
      <c r="C161" s="3">
        <v>99.3</v>
      </c>
      <c r="D161" s="3">
        <v>53.9</v>
      </c>
      <c r="E161" s="3">
        <f t="shared" si="1"/>
        <v>73</v>
      </c>
      <c r="F161" s="3">
        <f t="shared" si="5"/>
        <v>63.5</v>
      </c>
      <c r="G161" s="3" t="str">
        <f t="shared" si="3"/>
        <v>B+</v>
      </c>
      <c r="H161" s="3" t="str">
        <f t="shared" si="4"/>
        <v>P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>
        <v>161.0</v>
      </c>
      <c r="B162" s="3">
        <v>86.0</v>
      </c>
      <c r="C162" s="3">
        <v>89.9</v>
      </c>
      <c r="D162" s="3">
        <v>24.2</v>
      </c>
      <c r="E162" s="3">
        <f t="shared" si="1"/>
        <v>88</v>
      </c>
      <c r="F162" s="3">
        <f t="shared" si="5"/>
        <v>56.1</v>
      </c>
      <c r="G162" s="3" t="str">
        <f t="shared" si="3"/>
        <v>B</v>
      </c>
      <c r="H162" s="3" t="str">
        <f t="shared" si="4"/>
        <v>P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>
        <v>162.0</v>
      </c>
      <c r="B163" s="3">
        <v>58.9</v>
      </c>
      <c r="C163" s="3">
        <v>22.0</v>
      </c>
      <c r="D163" s="3">
        <v>29.8</v>
      </c>
      <c r="E163" s="3">
        <f t="shared" si="1"/>
        <v>39</v>
      </c>
      <c r="F163" s="3">
        <f t="shared" si="5"/>
        <v>34.4</v>
      </c>
      <c r="G163" s="3" t="str">
        <f t="shared" si="3"/>
        <v>E</v>
      </c>
      <c r="H163" s="3" t="str">
        <f t="shared" si="4"/>
        <v>F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>
        <v>163.0</v>
      </c>
      <c r="B164" s="3">
        <v>88.8</v>
      </c>
      <c r="C164" s="3">
        <v>15.3</v>
      </c>
      <c r="D164" s="3">
        <v>61.6</v>
      </c>
      <c r="E164" s="3">
        <f t="shared" si="1"/>
        <v>48</v>
      </c>
      <c r="F164" s="3">
        <f t="shared" si="5"/>
        <v>54.8</v>
      </c>
      <c r="G164" s="3" t="str">
        <f t="shared" si="3"/>
        <v>B</v>
      </c>
      <c r="H164" s="3" t="str">
        <f t="shared" si="4"/>
        <v>P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>
        <v>164.0</v>
      </c>
      <c r="B165" s="3">
        <v>14.5</v>
      </c>
      <c r="C165" s="3">
        <v>53.2</v>
      </c>
      <c r="D165" s="3">
        <v>74.3</v>
      </c>
      <c r="E165" s="3">
        <f t="shared" si="1"/>
        <v>36</v>
      </c>
      <c r="F165" s="3">
        <f t="shared" si="5"/>
        <v>55.2</v>
      </c>
      <c r="G165" s="3" t="str">
        <f t="shared" si="3"/>
        <v>B</v>
      </c>
      <c r="H165" s="3" t="str">
        <f t="shared" si="4"/>
        <v>P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>
        <v>165.0</v>
      </c>
      <c r="B166" s="3">
        <v>14.3</v>
      </c>
      <c r="C166" s="3">
        <v>85.2</v>
      </c>
      <c r="D166" s="3">
        <v>11.5</v>
      </c>
      <c r="E166" s="3">
        <f t="shared" si="1"/>
        <v>53</v>
      </c>
      <c r="F166" s="3">
        <f t="shared" si="5"/>
        <v>32.3</v>
      </c>
      <c r="G166" s="3" t="str">
        <f t="shared" si="3"/>
        <v>E</v>
      </c>
      <c r="H166" s="3" t="str">
        <f t="shared" si="4"/>
        <v>F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>
        <v>166.0</v>
      </c>
      <c r="B167" s="3">
        <v>87.5</v>
      </c>
      <c r="C167" s="3">
        <v>68.8</v>
      </c>
      <c r="D167" s="3">
        <v>96.6</v>
      </c>
      <c r="E167" s="3">
        <f t="shared" si="1"/>
        <v>77</v>
      </c>
      <c r="F167" s="3">
        <f t="shared" si="5"/>
        <v>86.8</v>
      </c>
      <c r="G167" s="3" t="str">
        <f t="shared" si="3"/>
        <v>A</v>
      </c>
      <c r="H167" s="3" t="str">
        <f t="shared" si="4"/>
        <v>P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>
        <v>167.0</v>
      </c>
      <c r="B168" s="3">
        <v>33.0</v>
      </c>
      <c r="C168" s="3">
        <v>32.0</v>
      </c>
      <c r="D168" s="3">
        <v>53.0</v>
      </c>
      <c r="E168" s="3">
        <f t="shared" si="1"/>
        <v>32</v>
      </c>
      <c r="F168" s="3">
        <f t="shared" si="5"/>
        <v>42.5</v>
      </c>
      <c r="G168" s="3" t="str">
        <f t="shared" si="3"/>
        <v>C</v>
      </c>
      <c r="H168" s="3" t="str">
        <f t="shared" si="4"/>
        <v>F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>
        <v>168.0</v>
      </c>
      <c r="B169" s="3">
        <v>90.0</v>
      </c>
      <c r="C169" s="3">
        <v>33.7</v>
      </c>
      <c r="D169" s="3">
        <v>84.3</v>
      </c>
      <c r="E169" s="3">
        <f t="shared" si="1"/>
        <v>59</v>
      </c>
      <c r="F169" s="3">
        <f t="shared" si="5"/>
        <v>71.7</v>
      </c>
      <c r="G169" s="3" t="str">
        <f t="shared" si="3"/>
        <v>A</v>
      </c>
      <c r="H169" s="3" t="str">
        <f t="shared" si="4"/>
        <v>P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>
        <v>169.0</v>
      </c>
      <c r="B170" s="3">
        <v>29.2</v>
      </c>
      <c r="C170" s="3">
        <v>49.3</v>
      </c>
      <c r="D170" s="3">
        <v>62.0</v>
      </c>
      <c r="E170" s="3">
        <f t="shared" si="1"/>
        <v>40</v>
      </c>
      <c r="F170" s="3">
        <f t="shared" si="5"/>
        <v>51</v>
      </c>
      <c r="G170" s="3" t="str">
        <f t="shared" si="3"/>
        <v>B</v>
      </c>
      <c r="H170" s="3" t="str">
        <f t="shared" si="4"/>
        <v>P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>
        <v>170.0</v>
      </c>
      <c r="B171" s="3">
        <v>87.6</v>
      </c>
      <c r="C171" s="3">
        <v>67.9</v>
      </c>
      <c r="D171" s="3">
        <v>71.7</v>
      </c>
      <c r="E171" s="3">
        <f t="shared" si="1"/>
        <v>77</v>
      </c>
      <c r="F171" s="3">
        <f t="shared" si="5"/>
        <v>74.4</v>
      </c>
      <c r="G171" s="3" t="str">
        <f t="shared" si="3"/>
        <v>A</v>
      </c>
      <c r="H171" s="3" t="str">
        <f t="shared" si="4"/>
        <v>P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>
        <v>171.0</v>
      </c>
      <c r="B172" s="3">
        <v>69.3</v>
      </c>
      <c r="C172" s="3">
        <v>52.2</v>
      </c>
      <c r="D172" s="3">
        <v>80.2</v>
      </c>
      <c r="E172" s="3">
        <f t="shared" si="1"/>
        <v>60</v>
      </c>
      <c r="F172" s="3">
        <f t="shared" si="5"/>
        <v>70.1</v>
      </c>
      <c r="G172" s="3" t="str">
        <f t="shared" si="3"/>
        <v>A</v>
      </c>
      <c r="H172" s="3" t="str">
        <f t="shared" si="4"/>
        <v>P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>
        <v>172.0</v>
      </c>
      <c r="B173" s="3">
        <v>51.2</v>
      </c>
      <c r="C173" s="3">
        <v>92.2</v>
      </c>
      <c r="D173" s="3">
        <v>43.3</v>
      </c>
      <c r="E173" s="3">
        <f t="shared" si="1"/>
        <v>74</v>
      </c>
      <c r="F173" s="3">
        <f t="shared" si="5"/>
        <v>58.7</v>
      </c>
      <c r="G173" s="3" t="str">
        <f t="shared" si="3"/>
        <v>B</v>
      </c>
      <c r="H173" s="3" t="str">
        <f t="shared" si="4"/>
        <v>P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>
        <v>173.0</v>
      </c>
      <c r="B174" s="3">
        <v>58.9</v>
      </c>
      <c r="C174" s="3">
        <v>27.0</v>
      </c>
      <c r="D174" s="3">
        <v>84.1</v>
      </c>
      <c r="E174" s="3">
        <f t="shared" si="1"/>
        <v>41</v>
      </c>
      <c r="F174" s="3">
        <f t="shared" si="5"/>
        <v>62.6</v>
      </c>
      <c r="G174" s="3" t="str">
        <f t="shared" si="3"/>
        <v>B+</v>
      </c>
      <c r="H174" s="3" t="str">
        <f t="shared" si="4"/>
        <v>P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>
        <v>174.0</v>
      </c>
      <c r="B175" s="3">
        <v>73.7</v>
      </c>
      <c r="C175" s="3">
        <v>94.5</v>
      </c>
      <c r="D175" s="3">
        <v>61.4</v>
      </c>
      <c r="E175" s="3">
        <f t="shared" si="1"/>
        <v>85</v>
      </c>
      <c r="F175" s="3">
        <f t="shared" si="5"/>
        <v>73.2</v>
      </c>
      <c r="G175" s="3" t="str">
        <f t="shared" si="3"/>
        <v>A</v>
      </c>
      <c r="H175" s="3" t="str">
        <f t="shared" si="4"/>
        <v>P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>
        <v>175.0</v>
      </c>
      <c r="B176" s="3">
        <v>33.7</v>
      </c>
      <c r="C176" s="3">
        <v>53.5</v>
      </c>
      <c r="D176" s="3">
        <v>39.7</v>
      </c>
      <c r="E176" s="3">
        <f t="shared" si="1"/>
        <v>45</v>
      </c>
      <c r="F176" s="3">
        <f t="shared" si="5"/>
        <v>42.4</v>
      </c>
      <c r="G176" s="3" t="str">
        <f t="shared" si="3"/>
        <v>C</v>
      </c>
      <c r="H176" s="3" t="str">
        <f t="shared" si="4"/>
        <v>F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>
        <v>176.0</v>
      </c>
      <c r="B177" s="3">
        <v>44.4</v>
      </c>
      <c r="C177" s="3">
        <v>50.6</v>
      </c>
      <c r="D177" s="3">
        <v>55.8</v>
      </c>
      <c r="E177" s="3">
        <f t="shared" si="1"/>
        <v>48</v>
      </c>
      <c r="F177" s="3">
        <f t="shared" si="5"/>
        <v>51.9</v>
      </c>
      <c r="G177" s="3" t="str">
        <f t="shared" si="3"/>
        <v>B</v>
      </c>
      <c r="H177" s="3" t="str">
        <f t="shared" si="4"/>
        <v>P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>
        <v>177.0</v>
      </c>
      <c r="B178" s="3">
        <v>45.0</v>
      </c>
      <c r="C178" s="3">
        <v>42.3</v>
      </c>
      <c r="D178" s="3">
        <v>77.4</v>
      </c>
      <c r="E178" s="3">
        <f t="shared" si="1"/>
        <v>44</v>
      </c>
      <c r="F178" s="3">
        <f t="shared" si="5"/>
        <v>60.7</v>
      </c>
      <c r="G178" s="3" t="str">
        <f t="shared" si="3"/>
        <v>B+</v>
      </c>
      <c r="H178" s="3" t="str">
        <f t="shared" si="4"/>
        <v>P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>
        <v>178.0</v>
      </c>
      <c r="B179" s="3">
        <v>73.0</v>
      </c>
      <c r="C179" s="3">
        <v>21.0</v>
      </c>
      <c r="D179" s="3">
        <v>60.9</v>
      </c>
      <c r="E179" s="3">
        <f t="shared" si="1"/>
        <v>44</v>
      </c>
      <c r="F179" s="3">
        <f t="shared" si="5"/>
        <v>52.5</v>
      </c>
      <c r="G179" s="3" t="str">
        <f t="shared" si="3"/>
        <v>B</v>
      </c>
      <c r="H179" s="3" t="str">
        <f t="shared" si="4"/>
        <v>P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>
        <v>179.0</v>
      </c>
      <c r="B180" s="3">
        <v>29.5</v>
      </c>
      <c r="C180" s="3">
        <v>89.4</v>
      </c>
      <c r="D180" s="3">
        <v>94.4</v>
      </c>
      <c r="E180" s="3">
        <f t="shared" si="1"/>
        <v>62</v>
      </c>
      <c r="F180" s="3">
        <f t="shared" si="5"/>
        <v>78.2</v>
      </c>
      <c r="G180" s="3" t="str">
        <f t="shared" si="3"/>
        <v>A</v>
      </c>
      <c r="H180" s="3" t="str">
        <f t="shared" si="4"/>
        <v>P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>
        <v>180.0</v>
      </c>
      <c r="B181" s="3">
        <v>11.1</v>
      </c>
      <c r="C181" s="3">
        <v>12.1</v>
      </c>
      <c r="D181" s="3">
        <v>45.4</v>
      </c>
      <c r="E181" s="3">
        <f t="shared" si="1"/>
        <v>12</v>
      </c>
      <c r="F181" s="3">
        <f t="shared" si="5"/>
        <v>28.7</v>
      </c>
      <c r="G181" s="3" t="str">
        <f t="shared" si="3"/>
        <v>E</v>
      </c>
      <c r="H181" s="3" t="str">
        <f t="shared" si="4"/>
        <v>F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>
        <v>181.0</v>
      </c>
      <c r="B182" s="3">
        <v>10.2</v>
      </c>
      <c r="C182" s="3">
        <v>89.6</v>
      </c>
      <c r="D182" s="3">
        <v>74.5</v>
      </c>
      <c r="E182" s="3">
        <f t="shared" si="1"/>
        <v>54</v>
      </c>
      <c r="F182" s="3">
        <f t="shared" si="5"/>
        <v>64.3</v>
      </c>
      <c r="G182" s="3" t="str">
        <f t="shared" si="3"/>
        <v>B+</v>
      </c>
      <c r="H182" s="3" t="str">
        <f t="shared" si="4"/>
        <v>P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>
        <v>182.0</v>
      </c>
      <c r="B183" s="3">
        <v>39.4</v>
      </c>
      <c r="C183" s="3">
        <v>46.2</v>
      </c>
      <c r="D183" s="3">
        <v>68.6</v>
      </c>
      <c r="E183" s="3">
        <f t="shared" si="1"/>
        <v>43</v>
      </c>
      <c r="F183" s="3">
        <f t="shared" si="5"/>
        <v>55.8</v>
      </c>
      <c r="G183" s="3" t="str">
        <f t="shared" si="3"/>
        <v>B</v>
      </c>
      <c r="H183" s="3" t="str">
        <f t="shared" si="4"/>
        <v>P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>
        <v>183.0</v>
      </c>
      <c r="B184" s="3">
        <v>18.8</v>
      </c>
      <c r="C184" s="3">
        <v>30.4</v>
      </c>
      <c r="D184" s="3">
        <v>38.9</v>
      </c>
      <c r="E184" s="3">
        <f t="shared" si="1"/>
        <v>25</v>
      </c>
      <c r="F184" s="3">
        <f t="shared" si="5"/>
        <v>32</v>
      </c>
      <c r="G184" s="3" t="str">
        <f t="shared" si="3"/>
        <v>E</v>
      </c>
      <c r="H184" s="3" t="str">
        <f t="shared" si="4"/>
        <v>F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>
        <v>184.0</v>
      </c>
      <c r="B185" s="3">
        <v>32.7</v>
      </c>
      <c r="C185" s="3">
        <v>29.3</v>
      </c>
      <c r="D185" s="3">
        <v>32.9</v>
      </c>
      <c r="E185" s="3">
        <f t="shared" si="1"/>
        <v>31</v>
      </c>
      <c r="F185" s="3">
        <f t="shared" si="5"/>
        <v>32</v>
      </c>
      <c r="G185" s="3" t="str">
        <f t="shared" si="3"/>
        <v>E</v>
      </c>
      <c r="H185" s="3" t="str">
        <f t="shared" si="4"/>
        <v>F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>
        <v>185.0</v>
      </c>
      <c r="B186" s="3">
        <v>23.9</v>
      </c>
      <c r="C186" s="3">
        <v>63.5</v>
      </c>
      <c r="D186" s="3">
        <v>90.7</v>
      </c>
      <c r="E186" s="3">
        <f t="shared" si="1"/>
        <v>46</v>
      </c>
      <c r="F186" s="3">
        <f t="shared" si="5"/>
        <v>68.4</v>
      </c>
      <c r="G186" s="3" t="str">
        <f t="shared" si="3"/>
        <v>B+</v>
      </c>
      <c r="H186" s="3" t="str">
        <f t="shared" si="4"/>
        <v>P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>
        <v>186.0</v>
      </c>
      <c r="B187" s="3">
        <v>13.5</v>
      </c>
      <c r="C187" s="3">
        <v>60.4</v>
      </c>
      <c r="D187" s="3">
        <v>43.8</v>
      </c>
      <c r="E187" s="3">
        <f t="shared" si="1"/>
        <v>39</v>
      </c>
      <c r="F187" s="3">
        <f t="shared" si="5"/>
        <v>41.4</v>
      </c>
      <c r="G187" s="3" t="str">
        <f t="shared" si="3"/>
        <v>C</v>
      </c>
      <c r="H187" s="3" t="str">
        <f t="shared" si="4"/>
        <v>F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>
        <v>187.0</v>
      </c>
      <c r="B188" s="3">
        <v>19.2</v>
      </c>
      <c r="C188" s="3">
        <v>70.5</v>
      </c>
      <c r="D188" s="3">
        <v>97.2</v>
      </c>
      <c r="E188" s="3">
        <f t="shared" si="1"/>
        <v>47</v>
      </c>
      <c r="F188" s="3">
        <f t="shared" si="5"/>
        <v>72.1</v>
      </c>
      <c r="G188" s="3" t="str">
        <f t="shared" si="3"/>
        <v>A</v>
      </c>
      <c r="H188" s="3" t="str">
        <f t="shared" si="4"/>
        <v>P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>
        <v>188.0</v>
      </c>
      <c r="B189" s="3">
        <v>87.5</v>
      </c>
      <c r="C189" s="3">
        <v>36.6</v>
      </c>
      <c r="D189" s="3">
        <v>91.5</v>
      </c>
      <c r="E189" s="3">
        <f t="shared" si="1"/>
        <v>60</v>
      </c>
      <c r="F189" s="3">
        <f t="shared" si="5"/>
        <v>75.8</v>
      </c>
      <c r="G189" s="3" t="str">
        <f t="shared" si="3"/>
        <v>A</v>
      </c>
      <c r="H189" s="3" t="str">
        <f t="shared" si="4"/>
        <v>P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>
        <v>189.0</v>
      </c>
      <c r="B190" s="3">
        <v>80.5</v>
      </c>
      <c r="C190" s="3">
        <v>40.4</v>
      </c>
      <c r="D190" s="3">
        <v>41.0</v>
      </c>
      <c r="E190" s="3">
        <f t="shared" si="1"/>
        <v>58</v>
      </c>
      <c r="F190" s="3">
        <f t="shared" si="5"/>
        <v>49.5</v>
      </c>
      <c r="G190" s="3" t="str">
        <f t="shared" si="3"/>
        <v>C</v>
      </c>
      <c r="H190" s="3" t="str">
        <f t="shared" si="4"/>
        <v>P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>
        <v>190.0</v>
      </c>
      <c r="B191" s="3">
        <v>81.0</v>
      </c>
      <c r="C191" s="3">
        <v>72.2</v>
      </c>
      <c r="D191" s="3">
        <v>68.4</v>
      </c>
      <c r="E191" s="3">
        <f t="shared" si="1"/>
        <v>76</v>
      </c>
      <c r="F191" s="3">
        <f t="shared" si="5"/>
        <v>72.2</v>
      </c>
      <c r="G191" s="3" t="str">
        <f t="shared" si="3"/>
        <v>A</v>
      </c>
      <c r="H191" s="3" t="str">
        <f t="shared" si="4"/>
        <v>P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>
        <v>191.0</v>
      </c>
      <c r="B192" s="3">
        <v>24.3</v>
      </c>
      <c r="C192" s="3">
        <v>53.5</v>
      </c>
      <c r="D192" s="3">
        <v>79.1</v>
      </c>
      <c r="E192" s="3">
        <f t="shared" si="1"/>
        <v>40</v>
      </c>
      <c r="F192" s="3">
        <f t="shared" si="5"/>
        <v>59.6</v>
      </c>
      <c r="G192" s="3" t="str">
        <f t="shared" si="3"/>
        <v>B</v>
      </c>
      <c r="H192" s="3" t="str">
        <f t="shared" si="4"/>
        <v>P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>
        <v>192.0</v>
      </c>
      <c r="B193" s="3">
        <v>77.1</v>
      </c>
      <c r="C193" s="3">
        <v>49.8</v>
      </c>
      <c r="D193" s="3">
        <v>52.6</v>
      </c>
      <c r="E193" s="3">
        <f t="shared" si="1"/>
        <v>62</v>
      </c>
      <c r="F193" s="3">
        <f t="shared" si="5"/>
        <v>57.3</v>
      </c>
      <c r="G193" s="3" t="str">
        <f t="shared" si="3"/>
        <v>B</v>
      </c>
      <c r="H193" s="3" t="str">
        <f t="shared" si="4"/>
        <v>P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>
        <v>193.0</v>
      </c>
      <c r="B194" s="3">
        <v>15.4</v>
      </c>
      <c r="C194" s="3">
        <v>15.1</v>
      </c>
      <c r="D194" s="3">
        <v>56.0</v>
      </c>
      <c r="E194" s="3">
        <f t="shared" si="1"/>
        <v>15</v>
      </c>
      <c r="F194" s="3">
        <f t="shared" si="5"/>
        <v>35.5</v>
      </c>
      <c r="G194" s="3" t="str">
        <f t="shared" si="3"/>
        <v>D</v>
      </c>
      <c r="H194" s="3" t="str">
        <f t="shared" si="4"/>
        <v>F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>
        <v>194.0</v>
      </c>
      <c r="B195" s="3">
        <v>29.2</v>
      </c>
      <c r="C195" s="3">
        <v>91.8</v>
      </c>
      <c r="D195" s="3">
        <v>78.3</v>
      </c>
      <c r="E195" s="3">
        <f t="shared" si="1"/>
        <v>64</v>
      </c>
      <c r="F195" s="3">
        <f t="shared" si="5"/>
        <v>71.2</v>
      </c>
      <c r="G195" s="3" t="str">
        <f t="shared" si="3"/>
        <v>A</v>
      </c>
      <c r="H195" s="3" t="str">
        <f t="shared" si="4"/>
        <v>P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>
        <v>195.0</v>
      </c>
      <c r="B196" s="3">
        <v>60.8</v>
      </c>
      <c r="C196" s="3">
        <v>64.7</v>
      </c>
      <c r="D196" s="3">
        <v>22.8</v>
      </c>
      <c r="E196" s="3">
        <f t="shared" si="1"/>
        <v>63</v>
      </c>
      <c r="F196" s="3">
        <f t="shared" si="5"/>
        <v>42.9</v>
      </c>
      <c r="G196" s="3" t="str">
        <f t="shared" si="3"/>
        <v>C</v>
      </c>
      <c r="H196" s="3" t="str">
        <f t="shared" si="4"/>
        <v>F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>
        <v>196.0</v>
      </c>
      <c r="B197" s="3">
        <v>48.9</v>
      </c>
      <c r="C197" s="3">
        <v>73.7</v>
      </c>
      <c r="D197" s="3">
        <v>45.3</v>
      </c>
      <c r="E197" s="3">
        <f t="shared" si="1"/>
        <v>63</v>
      </c>
      <c r="F197" s="3">
        <f t="shared" si="5"/>
        <v>54.2</v>
      </c>
      <c r="G197" s="3" t="str">
        <f t="shared" si="3"/>
        <v>B</v>
      </c>
      <c r="H197" s="3" t="str">
        <f t="shared" si="4"/>
        <v>P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>
        <v>197.0</v>
      </c>
      <c r="B198" s="3">
        <v>77.8</v>
      </c>
      <c r="C198" s="3">
        <v>99.4</v>
      </c>
      <c r="D198" s="3">
        <v>95.7</v>
      </c>
      <c r="E198" s="3">
        <f t="shared" si="1"/>
        <v>90</v>
      </c>
      <c r="F198" s="3">
        <f t="shared" si="5"/>
        <v>92.9</v>
      </c>
      <c r="G198" s="3" t="str">
        <f t="shared" si="3"/>
        <v>A</v>
      </c>
      <c r="H198" s="3" t="str">
        <f t="shared" si="4"/>
        <v>P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>
        <v>198.0</v>
      </c>
      <c r="B199" s="3">
        <v>68.0</v>
      </c>
      <c r="C199" s="3">
        <v>71.0</v>
      </c>
      <c r="D199" s="3">
        <v>50.7</v>
      </c>
      <c r="E199" s="3">
        <f t="shared" si="1"/>
        <v>70</v>
      </c>
      <c r="F199" s="3">
        <f t="shared" si="5"/>
        <v>60.4</v>
      </c>
      <c r="G199" s="3" t="str">
        <f t="shared" si="3"/>
        <v>B+</v>
      </c>
      <c r="H199" s="3" t="str">
        <f t="shared" si="4"/>
        <v>P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>
        <v>199.0</v>
      </c>
      <c r="B200" s="3">
        <v>42.2</v>
      </c>
      <c r="C200" s="3">
        <v>56.3</v>
      </c>
      <c r="D200" s="3">
        <v>11.1</v>
      </c>
      <c r="E200" s="3">
        <f t="shared" si="1"/>
        <v>50</v>
      </c>
      <c r="F200" s="3">
        <f t="shared" si="5"/>
        <v>30.6</v>
      </c>
      <c r="G200" s="3" t="str">
        <f t="shared" si="3"/>
        <v>E</v>
      </c>
      <c r="H200" s="3" t="str">
        <f t="shared" si="4"/>
        <v>F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>
        <v>200.0</v>
      </c>
      <c r="B201" s="3">
        <v>99.0</v>
      </c>
      <c r="C201" s="3">
        <v>59.2</v>
      </c>
      <c r="D201" s="3">
        <v>60.6</v>
      </c>
      <c r="E201" s="3">
        <f t="shared" si="1"/>
        <v>77</v>
      </c>
      <c r="F201" s="3">
        <f t="shared" si="5"/>
        <v>68.8</v>
      </c>
      <c r="G201" s="3" t="str">
        <f t="shared" si="3"/>
        <v>B+</v>
      </c>
      <c r="H201" s="3" t="str">
        <f t="shared" si="4"/>
        <v>P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>
        <v>201.0</v>
      </c>
      <c r="B202" s="3">
        <v>85.6</v>
      </c>
      <c r="C202" s="3">
        <v>70.2</v>
      </c>
      <c r="D202" s="3">
        <v>26.5</v>
      </c>
      <c r="E202" s="3">
        <f t="shared" si="1"/>
        <v>77</v>
      </c>
      <c r="F202" s="3">
        <f t="shared" si="5"/>
        <v>51.8</v>
      </c>
      <c r="G202" s="3" t="str">
        <f t="shared" si="3"/>
        <v>B</v>
      </c>
      <c r="H202" s="3" t="str">
        <f t="shared" si="4"/>
        <v>P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>
        <v>202.0</v>
      </c>
      <c r="B203" s="3">
        <v>43.1</v>
      </c>
      <c r="C203" s="3">
        <v>47.1</v>
      </c>
      <c r="D203" s="3">
        <v>92.2</v>
      </c>
      <c r="E203" s="3">
        <f t="shared" si="1"/>
        <v>45</v>
      </c>
      <c r="F203" s="3">
        <f t="shared" si="5"/>
        <v>68.6</v>
      </c>
      <c r="G203" s="3" t="str">
        <f t="shared" si="3"/>
        <v>B+</v>
      </c>
      <c r="H203" s="3" t="str">
        <f t="shared" si="4"/>
        <v>P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>
        <v>203.0</v>
      </c>
      <c r="B204" s="3">
        <v>80.8</v>
      </c>
      <c r="C204" s="3">
        <v>48.6</v>
      </c>
      <c r="D204" s="3">
        <v>18.1</v>
      </c>
      <c r="E204" s="3">
        <f t="shared" si="1"/>
        <v>63</v>
      </c>
      <c r="F204" s="3">
        <f t="shared" si="5"/>
        <v>40.6</v>
      </c>
      <c r="G204" s="3" t="str">
        <f t="shared" si="3"/>
        <v>C</v>
      </c>
      <c r="H204" s="3" t="str">
        <f t="shared" si="4"/>
        <v>F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>
        <v>204.0</v>
      </c>
      <c r="B205" s="3">
        <v>55.1</v>
      </c>
      <c r="C205" s="3">
        <v>58.8</v>
      </c>
      <c r="D205" s="3">
        <v>53.7</v>
      </c>
      <c r="E205" s="3">
        <f t="shared" si="1"/>
        <v>57</v>
      </c>
      <c r="F205" s="3">
        <f t="shared" si="5"/>
        <v>55.4</v>
      </c>
      <c r="G205" s="3" t="str">
        <f t="shared" si="3"/>
        <v>B</v>
      </c>
      <c r="H205" s="3" t="str">
        <f t="shared" si="4"/>
        <v>P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>
        <v>205.0</v>
      </c>
      <c r="B206" s="3">
        <v>39.3</v>
      </c>
      <c r="C206" s="3">
        <v>42.8</v>
      </c>
      <c r="D206" s="3">
        <v>10.1</v>
      </c>
      <c r="E206" s="3">
        <f t="shared" si="1"/>
        <v>41</v>
      </c>
      <c r="F206" s="3">
        <f t="shared" si="5"/>
        <v>25.6</v>
      </c>
      <c r="G206" s="3" t="str">
        <f t="shared" si="3"/>
        <v>E</v>
      </c>
      <c r="H206" s="3" t="str">
        <f t="shared" si="4"/>
        <v>F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>
        <v>206.0</v>
      </c>
      <c r="B207" s="3">
        <v>67.1</v>
      </c>
      <c r="C207" s="3">
        <v>53.8</v>
      </c>
      <c r="D207" s="3">
        <v>95.9</v>
      </c>
      <c r="E207" s="3">
        <f t="shared" si="1"/>
        <v>60</v>
      </c>
      <c r="F207" s="3">
        <f t="shared" si="5"/>
        <v>78</v>
      </c>
      <c r="G207" s="3" t="str">
        <f t="shared" si="3"/>
        <v>A</v>
      </c>
      <c r="H207" s="3" t="str">
        <f t="shared" si="4"/>
        <v>P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>
        <v>207.0</v>
      </c>
      <c r="B208" s="3">
        <v>10.4</v>
      </c>
      <c r="C208" s="3">
        <v>98.1</v>
      </c>
      <c r="D208" s="3">
        <v>76.8</v>
      </c>
      <c r="E208" s="3">
        <f t="shared" si="1"/>
        <v>59</v>
      </c>
      <c r="F208" s="3">
        <f t="shared" si="5"/>
        <v>67.9</v>
      </c>
      <c r="G208" s="3" t="str">
        <f t="shared" si="3"/>
        <v>B+</v>
      </c>
      <c r="H208" s="3" t="str">
        <f t="shared" si="4"/>
        <v>P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>
        <v>208.0</v>
      </c>
      <c r="B209" s="3">
        <v>52.1</v>
      </c>
      <c r="C209" s="3">
        <v>97.5</v>
      </c>
      <c r="D209" s="3">
        <v>30.6</v>
      </c>
      <c r="E209" s="3">
        <f t="shared" si="1"/>
        <v>77</v>
      </c>
      <c r="F209" s="3">
        <f t="shared" si="5"/>
        <v>53.8</v>
      </c>
      <c r="G209" s="3" t="str">
        <f t="shared" si="3"/>
        <v>B</v>
      </c>
      <c r="H209" s="3" t="str">
        <f t="shared" si="4"/>
        <v>P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>
        <v>209.0</v>
      </c>
      <c r="B210" s="3">
        <v>77.8</v>
      </c>
      <c r="C210" s="3">
        <v>13.2</v>
      </c>
      <c r="D210" s="3">
        <v>61.8</v>
      </c>
      <c r="E210" s="3">
        <f t="shared" si="1"/>
        <v>42</v>
      </c>
      <c r="F210" s="3">
        <f t="shared" si="5"/>
        <v>51.9</v>
      </c>
      <c r="G210" s="3" t="str">
        <f t="shared" si="3"/>
        <v>B</v>
      </c>
      <c r="H210" s="3" t="str">
        <f t="shared" si="4"/>
        <v>P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>
        <v>210.0</v>
      </c>
      <c r="B211" s="3">
        <v>31.0</v>
      </c>
      <c r="C211" s="3">
        <v>96.2</v>
      </c>
      <c r="D211" s="3">
        <v>45.7</v>
      </c>
      <c r="E211" s="3">
        <f t="shared" si="1"/>
        <v>67</v>
      </c>
      <c r="F211" s="3">
        <f t="shared" si="5"/>
        <v>56.4</v>
      </c>
      <c r="G211" s="3" t="str">
        <f t="shared" si="3"/>
        <v>B</v>
      </c>
      <c r="H211" s="3" t="str">
        <f t="shared" si="4"/>
        <v>P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>
        <v>211.0</v>
      </c>
      <c r="B212" s="3">
        <v>72.2</v>
      </c>
      <c r="C212" s="3">
        <v>78.8</v>
      </c>
      <c r="D212" s="3">
        <v>77.7</v>
      </c>
      <c r="E212" s="3">
        <f t="shared" si="1"/>
        <v>76</v>
      </c>
      <c r="F212" s="3">
        <f t="shared" si="5"/>
        <v>76.9</v>
      </c>
      <c r="G212" s="3" t="str">
        <f t="shared" si="3"/>
        <v>A</v>
      </c>
      <c r="H212" s="3" t="str">
        <f t="shared" si="4"/>
        <v>P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>
        <v>212.0</v>
      </c>
      <c r="B213" s="3">
        <v>55.2</v>
      </c>
      <c r="C213" s="3">
        <v>77.8</v>
      </c>
      <c r="D213" s="3">
        <v>99.5</v>
      </c>
      <c r="E213" s="3">
        <f t="shared" si="1"/>
        <v>68</v>
      </c>
      <c r="F213" s="3">
        <f t="shared" si="5"/>
        <v>83.8</v>
      </c>
      <c r="G213" s="3" t="str">
        <f t="shared" si="3"/>
        <v>A</v>
      </c>
      <c r="H213" s="3" t="str">
        <f t="shared" si="4"/>
        <v>P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>
        <v>213.0</v>
      </c>
      <c r="B214" s="3">
        <v>59.8</v>
      </c>
      <c r="C214" s="3">
        <v>58.8</v>
      </c>
      <c r="D214" s="3">
        <v>57.0</v>
      </c>
      <c r="E214" s="3">
        <f t="shared" si="1"/>
        <v>59</v>
      </c>
      <c r="F214" s="3">
        <f t="shared" si="5"/>
        <v>58</v>
      </c>
      <c r="G214" s="3" t="str">
        <f t="shared" si="3"/>
        <v>B</v>
      </c>
      <c r="H214" s="3" t="str">
        <f t="shared" si="4"/>
        <v>P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>
        <v>214.0</v>
      </c>
      <c r="B215" s="3">
        <v>74.3</v>
      </c>
      <c r="C215" s="3">
        <v>67.5</v>
      </c>
      <c r="D215" s="3">
        <v>82.5</v>
      </c>
      <c r="E215" s="3">
        <f t="shared" si="1"/>
        <v>71</v>
      </c>
      <c r="F215" s="3">
        <f t="shared" si="5"/>
        <v>76.8</v>
      </c>
      <c r="G215" s="3" t="str">
        <f t="shared" si="3"/>
        <v>A</v>
      </c>
      <c r="H215" s="3" t="str">
        <f t="shared" si="4"/>
        <v>P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>
        <v>215.0</v>
      </c>
      <c r="B216" s="3">
        <v>42.6</v>
      </c>
      <c r="C216" s="3">
        <v>77.7</v>
      </c>
      <c r="D216" s="3">
        <v>45.9</v>
      </c>
      <c r="E216" s="3">
        <f t="shared" si="1"/>
        <v>62</v>
      </c>
      <c r="F216" s="3">
        <f t="shared" si="5"/>
        <v>54</v>
      </c>
      <c r="G216" s="3" t="str">
        <f t="shared" si="3"/>
        <v>B</v>
      </c>
      <c r="H216" s="3" t="str">
        <f t="shared" si="4"/>
        <v>P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>
        <v>216.0</v>
      </c>
      <c r="B217" s="3">
        <v>96.4</v>
      </c>
      <c r="C217" s="3">
        <v>85.8</v>
      </c>
      <c r="D217" s="3">
        <v>37.9</v>
      </c>
      <c r="E217" s="3">
        <f t="shared" si="1"/>
        <v>91</v>
      </c>
      <c r="F217" s="3">
        <f t="shared" si="5"/>
        <v>64.5</v>
      </c>
      <c r="G217" s="3" t="str">
        <f t="shared" si="3"/>
        <v>B+</v>
      </c>
      <c r="H217" s="3" t="str">
        <f t="shared" si="4"/>
        <v>P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>
        <v>217.0</v>
      </c>
      <c r="B218" s="3">
        <v>57.0</v>
      </c>
      <c r="C218" s="3">
        <v>66.8</v>
      </c>
      <c r="D218" s="3">
        <v>26.8</v>
      </c>
      <c r="E218" s="3">
        <f t="shared" si="1"/>
        <v>62</v>
      </c>
      <c r="F218" s="3">
        <f t="shared" si="5"/>
        <v>44.4</v>
      </c>
      <c r="G218" s="3" t="str">
        <f t="shared" si="3"/>
        <v>C</v>
      </c>
      <c r="H218" s="3" t="str">
        <f t="shared" si="4"/>
        <v>F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>
        <v>218.0</v>
      </c>
      <c r="B219" s="3">
        <v>87.7</v>
      </c>
      <c r="C219" s="3">
        <v>54.0</v>
      </c>
      <c r="D219" s="3">
        <v>37.0</v>
      </c>
      <c r="E219" s="3">
        <f t="shared" si="1"/>
        <v>69</v>
      </c>
      <c r="F219" s="3">
        <f t="shared" si="5"/>
        <v>53</v>
      </c>
      <c r="G219" s="3" t="str">
        <f t="shared" si="3"/>
        <v>B</v>
      </c>
      <c r="H219" s="3" t="str">
        <f t="shared" si="4"/>
        <v>P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>
        <v>219.0</v>
      </c>
      <c r="B220" s="3">
        <v>63.9</v>
      </c>
      <c r="C220" s="3">
        <v>80.0</v>
      </c>
      <c r="D220" s="3">
        <v>29.8</v>
      </c>
      <c r="E220" s="3">
        <f t="shared" si="1"/>
        <v>73</v>
      </c>
      <c r="F220" s="3">
        <f t="shared" si="5"/>
        <v>51.4</v>
      </c>
      <c r="G220" s="3" t="str">
        <f t="shared" si="3"/>
        <v>B</v>
      </c>
      <c r="H220" s="3" t="str">
        <f t="shared" si="4"/>
        <v>P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>
        <v>220.0</v>
      </c>
      <c r="B221" s="3">
        <v>17.3</v>
      </c>
      <c r="C221" s="3">
        <v>87.0</v>
      </c>
      <c r="D221" s="3">
        <v>31.8</v>
      </c>
      <c r="E221" s="3">
        <f t="shared" si="1"/>
        <v>56</v>
      </c>
      <c r="F221" s="3">
        <f t="shared" si="5"/>
        <v>43.9</v>
      </c>
      <c r="G221" s="3" t="str">
        <f t="shared" si="3"/>
        <v>C</v>
      </c>
      <c r="H221" s="3" t="str">
        <f t="shared" si="4"/>
        <v>F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>
        <v>221.0</v>
      </c>
      <c r="B222" s="3">
        <v>43.7</v>
      </c>
      <c r="C222" s="3">
        <v>71.5</v>
      </c>
      <c r="D222" s="3">
        <v>89.2</v>
      </c>
      <c r="E222" s="3">
        <f t="shared" si="1"/>
        <v>59</v>
      </c>
      <c r="F222" s="3">
        <f t="shared" si="5"/>
        <v>74.1</v>
      </c>
      <c r="G222" s="3" t="str">
        <f t="shared" si="3"/>
        <v>A</v>
      </c>
      <c r="H222" s="3" t="str">
        <f t="shared" si="4"/>
        <v>P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>
        <v>222.0</v>
      </c>
      <c r="B223" s="3">
        <v>30.4</v>
      </c>
      <c r="C223" s="3">
        <v>59.8</v>
      </c>
      <c r="D223" s="3">
        <v>16.7</v>
      </c>
      <c r="E223" s="3">
        <f t="shared" si="1"/>
        <v>47</v>
      </c>
      <c r="F223" s="3">
        <f t="shared" si="5"/>
        <v>31.9</v>
      </c>
      <c r="G223" s="3" t="str">
        <f t="shared" si="3"/>
        <v>E</v>
      </c>
      <c r="H223" s="3" t="str">
        <f t="shared" si="4"/>
        <v>F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>
        <v>223.0</v>
      </c>
      <c r="B224" s="3">
        <v>11.6</v>
      </c>
      <c r="C224" s="3">
        <v>93.3</v>
      </c>
      <c r="D224" s="3">
        <v>30.2</v>
      </c>
      <c r="E224" s="3">
        <f t="shared" si="1"/>
        <v>57</v>
      </c>
      <c r="F224" s="3">
        <f t="shared" si="5"/>
        <v>43.6</v>
      </c>
      <c r="G224" s="3" t="str">
        <f t="shared" si="3"/>
        <v>C</v>
      </c>
      <c r="H224" s="3" t="str">
        <f t="shared" si="4"/>
        <v>F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>
        <v>224.0</v>
      </c>
      <c r="B225" s="3">
        <v>38.3</v>
      </c>
      <c r="C225" s="3">
        <v>85.6</v>
      </c>
      <c r="D225" s="3">
        <v>55.1</v>
      </c>
      <c r="E225" s="3">
        <f t="shared" si="1"/>
        <v>64</v>
      </c>
      <c r="F225" s="3">
        <f t="shared" si="5"/>
        <v>59.6</v>
      </c>
      <c r="G225" s="3" t="str">
        <f t="shared" si="3"/>
        <v>B</v>
      </c>
      <c r="H225" s="3" t="str">
        <f t="shared" si="4"/>
        <v>P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>
        <v>225.0</v>
      </c>
      <c r="B226" s="3">
        <v>86.6</v>
      </c>
      <c r="C226" s="3">
        <v>89.3</v>
      </c>
      <c r="D226" s="3">
        <v>25.4</v>
      </c>
      <c r="E226" s="3">
        <f t="shared" si="1"/>
        <v>88</v>
      </c>
      <c r="F226" s="3">
        <f t="shared" si="5"/>
        <v>56.7</v>
      </c>
      <c r="G226" s="3" t="str">
        <f t="shared" si="3"/>
        <v>B</v>
      </c>
      <c r="H226" s="3" t="str">
        <f t="shared" si="4"/>
        <v>P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>
        <v>226.0</v>
      </c>
      <c r="B227" s="3">
        <v>89.5</v>
      </c>
      <c r="C227" s="3">
        <v>35.3</v>
      </c>
      <c r="D227" s="3">
        <v>42.3</v>
      </c>
      <c r="E227" s="3">
        <f t="shared" si="1"/>
        <v>60</v>
      </c>
      <c r="F227" s="3">
        <f t="shared" si="5"/>
        <v>51.2</v>
      </c>
      <c r="G227" s="3" t="str">
        <f t="shared" si="3"/>
        <v>B</v>
      </c>
      <c r="H227" s="3" t="str">
        <f t="shared" si="4"/>
        <v>P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>
        <v>227.0</v>
      </c>
      <c r="B228" s="3">
        <v>25.8</v>
      </c>
      <c r="C228" s="3">
        <v>46.8</v>
      </c>
      <c r="D228" s="3">
        <v>26.0</v>
      </c>
      <c r="E228" s="3">
        <f t="shared" si="1"/>
        <v>37</v>
      </c>
      <c r="F228" s="3">
        <f t="shared" si="5"/>
        <v>31.5</v>
      </c>
      <c r="G228" s="3" t="str">
        <f t="shared" si="3"/>
        <v>E</v>
      </c>
      <c r="H228" s="3" t="str">
        <f t="shared" si="4"/>
        <v>F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>
        <v>228.0</v>
      </c>
      <c r="B229" s="3">
        <v>18.2</v>
      </c>
      <c r="C229" s="3">
        <v>43.4</v>
      </c>
      <c r="D229" s="3">
        <v>81.6</v>
      </c>
      <c r="E229" s="3">
        <f t="shared" si="1"/>
        <v>32</v>
      </c>
      <c r="F229" s="3">
        <f t="shared" si="5"/>
        <v>56.8</v>
      </c>
      <c r="G229" s="3" t="str">
        <f t="shared" si="3"/>
        <v>B</v>
      </c>
      <c r="H229" s="3" t="str">
        <f t="shared" si="4"/>
        <v>P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>
        <v>229.0</v>
      </c>
      <c r="B230" s="3">
        <v>86.9</v>
      </c>
      <c r="C230" s="3">
        <v>97.6</v>
      </c>
      <c r="D230" s="3">
        <v>90.9</v>
      </c>
      <c r="E230" s="3">
        <f t="shared" si="1"/>
        <v>93</v>
      </c>
      <c r="F230" s="3">
        <f t="shared" si="5"/>
        <v>92</v>
      </c>
      <c r="G230" s="3" t="str">
        <f t="shared" si="3"/>
        <v>A</v>
      </c>
      <c r="H230" s="3" t="str">
        <f t="shared" si="4"/>
        <v>P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>
        <v>230.0</v>
      </c>
      <c r="B231" s="3">
        <v>10.8</v>
      </c>
      <c r="C231" s="3">
        <v>95.7</v>
      </c>
      <c r="D231" s="3">
        <v>63.1</v>
      </c>
      <c r="E231" s="3">
        <f t="shared" si="1"/>
        <v>57</v>
      </c>
      <c r="F231" s="3">
        <f t="shared" si="5"/>
        <v>60.1</v>
      </c>
      <c r="G231" s="3" t="str">
        <f t="shared" si="3"/>
        <v>B+</v>
      </c>
      <c r="H231" s="3" t="str">
        <f t="shared" si="4"/>
        <v>P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>
        <v>231.0</v>
      </c>
      <c r="B232" s="3">
        <v>91.8</v>
      </c>
      <c r="C232" s="3">
        <v>92.0</v>
      </c>
      <c r="D232" s="3">
        <v>10.7</v>
      </c>
      <c r="E232" s="3">
        <f t="shared" si="1"/>
        <v>92</v>
      </c>
      <c r="F232" s="3">
        <f t="shared" si="5"/>
        <v>51.4</v>
      </c>
      <c r="G232" s="3" t="str">
        <f t="shared" si="3"/>
        <v>B</v>
      </c>
      <c r="H232" s="3" t="str">
        <f t="shared" si="4"/>
        <v>P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>
        <v>232.0</v>
      </c>
      <c r="B233" s="3">
        <v>42.1</v>
      </c>
      <c r="C233" s="3">
        <v>65.8</v>
      </c>
      <c r="D233" s="3">
        <v>20.4</v>
      </c>
      <c r="E233" s="3">
        <f t="shared" si="1"/>
        <v>55</v>
      </c>
      <c r="F233" s="3">
        <f t="shared" si="5"/>
        <v>37.7</v>
      </c>
      <c r="G233" s="3" t="str">
        <f t="shared" si="3"/>
        <v>D</v>
      </c>
      <c r="H233" s="3" t="str">
        <f t="shared" si="4"/>
        <v>F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>
        <v>233.0</v>
      </c>
      <c r="B234" s="3">
        <v>55.7</v>
      </c>
      <c r="C234" s="3">
        <v>51.5</v>
      </c>
      <c r="D234" s="3">
        <v>11.7</v>
      </c>
      <c r="E234" s="3">
        <f t="shared" si="1"/>
        <v>53</v>
      </c>
      <c r="F234" s="3">
        <f t="shared" si="5"/>
        <v>32.4</v>
      </c>
      <c r="G234" s="3" t="str">
        <f t="shared" si="3"/>
        <v>E</v>
      </c>
      <c r="H234" s="3" t="str">
        <f t="shared" si="4"/>
        <v>F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>
        <v>234.0</v>
      </c>
      <c r="B235" s="3">
        <v>80.4</v>
      </c>
      <c r="C235" s="3">
        <v>49.9</v>
      </c>
      <c r="D235" s="3">
        <v>82.5</v>
      </c>
      <c r="E235" s="3">
        <f t="shared" si="1"/>
        <v>64</v>
      </c>
      <c r="F235" s="3">
        <f t="shared" si="5"/>
        <v>73.3</v>
      </c>
      <c r="G235" s="3" t="str">
        <f t="shared" si="3"/>
        <v>A</v>
      </c>
      <c r="H235" s="3" t="str">
        <f t="shared" si="4"/>
        <v>P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>
        <v>235.0</v>
      </c>
      <c r="B236" s="3">
        <v>46.9</v>
      </c>
      <c r="C236" s="3">
        <v>86.2</v>
      </c>
      <c r="D236" s="3">
        <v>75.6</v>
      </c>
      <c r="E236" s="3">
        <f t="shared" si="1"/>
        <v>69</v>
      </c>
      <c r="F236" s="3">
        <f t="shared" si="5"/>
        <v>72.3</v>
      </c>
      <c r="G236" s="3" t="str">
        <f t="shared" si="3"/>
        <v>A</v>
      </c>
      <c r="H236" s="3" t="str">
        <f t="shared" si="4"/>
        <v>P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>
        <v>236.0</v>
      </c>
      <c r="B237" s="3">
        <v>70.0</v>
      </c>
      <c r="C237" s="3">
        <v>69.8</v>
      </c>
      <c r="D237" s="3">
        <v>92.9</v>
      </c>
      <c r="E237" s="3">
        <f t="shared" si="1"/>
        <v>70</v>
      </c>
      <c r="F237" s="3">
        <f t="shared" si="5"/>
        <v>81.5</v>
      </c>
      <c r="G237" s="3" t="str">
        <f t="shared" si="3"/>
        <v>A</v>
      </c>
      <c r="H237" s="3" t="str">
        <f t="shared" si="4"/>
        <v>P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>
        <v>237.0</v>
      </c>
      <c r="B238" s="3">
        <v>70.3</v>
      </c>
      <c r="C238" s="3">
        <v>18.7</v>
      </c>
      <c r="D238" s="3">
        <v>29.4</v>
      </c>
      <c r="E238" s="3">
        <f t="shared" si="1"/>
        <v>42</v>
      </c>
      <c r="F238" s="3">
        <f t="shared" si="5"/>
        <v>35.7</v>
      </c>
      <c r="G238" s="3" t="str">
        <f t="shared" si="3"/>
        <v>D</v>
      </c>
      <c r="H238" s="3" t="str">
        <f t="shared" si="4"/>
        <v>F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>
        <v>238.0</v>
      </c>
      <c r="B239" s="3">
        <v>16.3</v>
      </c>
      <c r="C239" s="3">
        <v>69.2</v>
      </c>
      <c r="D239" s="3">
        <v>33.2</v>
      </c>
      <c r="E239" s="3">
        <f t="shared" si="1"/>
        <v>45</v>
      </c>
      <c r="F239" s="3">
        <f t="shared" si="5"/>
        <v>39.1</v>
      </c>
      <c r="G239" s="3" t="str">
        <f t="shared" si="3"/>
        <v>D</v>
      </c>
      <c r="H239" s="3" t="str">
        <f t="shared" si="4"/>
        <v>F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>
        <v>239.0</v>
      </c>
      <c r="B240" s="3">
        <v>91.6</v>
      </c>
      <c r="C240" s="3">
        <v>39.9</v>
      </c>
      <c r="D240" s="3">
        <v>47.9</v>
      </c>
      <c r="E240" s="3">
        <f t="shared" si="1"/>
        <v>63</v>
      </c>
      <c r="F240" s="3">
        <f t="shared" si="5"/>
        <v>55.5</v>
      </c>
      <c r="G240" s="3" t="str">
        <f t="shared" si="3"/>
        <v>B</v>
      </c>
      <c r="H240" s="3" t="str">
        <f t="shared" si="4"/>
        <v>P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>
        <v>240.0</v>
      </c>
      <c r="B241" s="3">
        <v>18.8</v>
      </c>
      <c r="C241" s="3">
        <v>40.0</v>
      </c>
      <c r="D241" s="3">
        <v>22.5</v>
      </c>
      <c r="E241" s="3">
        <f t="shared" si="1"/>
        <v>30</v>
      </c>
      <c r="F241" s="3">
        <f t="shared" si="5"/>
        <v>26.3</v>
      </c>
      <c r="G241" s="3" t="str">
        <f t="shared" si="3"/>
        <v>E</v>
      </c>
      <c r="H241" s="3" t="str">
        <f t="shared" si="4"/>
        <v>F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>
        <v>241.0</v>
      </c>
      <c r="B242" s="3">
        <v>82.4</v>
      </c>
      <c r="C242" s="3">
        <v>80.1</v>
      </c>
      <c r="D242" s="3">
        <v>16.9</v>
      </c>
      <c r="E242" s="3">
        <f t="shared" si="1"/>
        <v>81</v>
      </c>
      <c r="F242" s="3">
        <f t="shared" si="5"/>
        <v>49</v>
      </c>
      <c r="G242" s="3" t="str">
        <f t="shared" si="3"/>
        <v>C</v>
      </c>
      <c r="H242" s="3" t="str">
        <f t="shared" si="4"/>
        <v>P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>
        <v>242.0</v>
      </c>
      <c r="B243" s="3">
        <v>89.3</v>
      </c>
      <c r="C243" s="3">
        <v>25.4</v>
      </c>
      <c r="D243" s="3">
        <v>44.1</v>
      </c>
      <c r="E243" s="3">
        <f t="shared" si="1"/>
        <v>54</v>
      </c>
      <c r="F243" s="3">
        <f t="shared" si="5"/>
        <v>49.1</v>
      </c>
      <c r="G243" s="3" t="str">
        <f t="shared" si="3"/>
        <v>C</v>
      </c>
      <c r="H243" s="3" t="str">
        <f t="shared" si="4"/>
        <v>P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>
        <v>243.0</v>
      </c>
      <c r="B244" s="3">
        <v>43.2</v>
      </c>
      <c r="C244" s="3">
        <v>45.6</v>
      </c>
      <c r="D244" s="3">
        <v>90.7</v>
      </c>
      <c r="E244" s="3">
        <f t="shared" si="1"/>
        <v>45</v>
      </c>
      <c r="F244" s="3">
        <f t="shared" si="5"/>
        <v>67.9</v>
      </c>
      <c r="G244" s="3" t="str">
        <f t="shared" si="3"/>
        <v>B+</v>
      </c>
      <c r="H244" s="3" t="str">
        <f t="shared" si="4"/>
        <v>P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>
        <v>244.0</v>
      </c>
      <c r="B245" s="3">
        <v>70.0</v>
      </c>
      <c r="C245" s="3">
        <v>87.6</v>
      </c>
      <c r="D245" s="3">
        <v>70.0</v>
      </c>
      <c r="E245" s="3">
        <f t="shared" si="1"/>
        <v>80</v>
      </c>
      <c r="F245" s="3">
        <f t="shared" si="5"/>
        <v>75</v>
      </c>
      <c r="G245" s="3" t="str">
        <f t="shared" si="3"/>
        <v>A</v>
      </c>
      <c r="H245" s="3" t="str">
        <f t="shared" si="4"/>
        <v>P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>
        <v>245.0</v>
      </c>
      <c r="B246" s="3">
        <v>77.0</v>
      </c>
      <c r="C246" s="3">
        <v>16.1</v>
      </c>
      <c r="D246" s="3">
        <v>68.9</v>
      </c>
      <c r="E246" s="3">
        <f t="shared" si="1"/>
        <v>44</v>
      </c>
      <c r="F246" s="3">
        <f t="shared" si="5"/>
        <v>56.5</v>
      </c>
      <c r="G246" s="3" t="str">
        <f t="shared" si="3"/>
        <v>B</v>
      </c>
      <c r="H246" s="3" t="str">
        <f t="shared" si="4"/>
        <v>P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>
        <v>246.0</v>
      </c>
      <c r="B247" s="3">
        <v>25.5</v>
      </c>
      <c r="C247" s="3">
        <v>48.4</v>
      </c>
      <c r="D247" s="3">
        <v>44.3</v>
      </c>
      <c r="E247" s="3">
        <f t="shared" si="1"/>
        <v>38</v>
      </c>
      <c r="F247" s="3">
        <f t="shared" si="5"/>
        <v>41.2</v>
      </c>
      <c r="G247" s="3" t="str">
        <f t="shared" si="3"/>
        <v>C</v>
      </c>
      <c r="H247" s="3" t="str">
        <f t="shared" si="4"/>
        <v>F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>
        <v>247.0</v>
      </c>
      <c r="B248" s="3">
        <v>73.0</v>
      </c>
      <c r="C248" s="3">
        <v>31.0</v>
      </c>
      <c r="D248" s="3">
        <v>88.7</v>
      </c>
      <c r="E248" s="3">
        <f t="shared" si="1"/>
        <v>50</v>
      </c>
      <c r="F248" s="3">
        <f t="shared" si="5"/>
        <v>69.4</v>
      </c>
      <c r="G248" s="3" t="str">
        <f t="shared" si="3"/>
        <v>B+</v>
      </c>
      <c r="H248" s="3" t="str">
        <f t="shared" si="4"/>
        <v>P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>
        <v>248.0</v>
      </c>
      <c r="B249" s="3">
        <v>79.1</v>
      </c>
      <c r="C249" s="3">
        <v>65.3</v>
      </c>
      <c r="D249" s="3">
        <v>98.4</v>
      </c>
      <c r="E249" s="3">
        <f t="shared" si="1"/>
        <v>72</v>
      </c>
      <c r="F249" s="3">
        <f t="shared" si="5"/>
        <v>85.2</v>
      </c>
      <c r="G249" s="3" t="str">
        <f t="shared" si="3"/>
        <v>A</v>
      </c>
      <c r="H249" s="3" t="str">
        <f t="shared" si="4"/>
        <v>P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>
        <v>249.0</v>
      </c>
      <c r="B250" s="3">
        <v>50.6</v>
      </c>
      <c r="C250" s="3">
        <v>65.7</v>
      </c>
      <c r="D250" s="3">
        <v>87.0</v>
      </c>
      <c r="E250" s="3">
        <f t="shared" si="1"/>
        <v>59</v>
      </c>
      <c r="F250" s="3">
        <f t="shared" si="5"/>
        <v>73</v>
      </c>
      <c r="G250" s="3" t="str">
        <f t="shared" si="3"/>
        <v>A</v>
      </c>
      <c r="H250" s="3" t="str">
        <f t="shared" si="4"/>
        <v>P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>
        <v>250.0</v>
      </c>
      <c r="B251" s="3">
        <v>41.6</v>
      </c>
      <c r="C251" s="3">
        <v>68.5</v>
      </c>
      <c r="D251" s="3">
        <v>94.2</v>
      </c>
      <c r="E251" s="3">
        <f t="shared" si="1"/>
        <v>56</v>
      </c>
      <c r="F251" s="3">
        <f t="shared" si="5"/>
        <v>75.1</v>
      </c>
      <c r="G251" s="3" t="str">
        <f t="shared" si="3"/>
        <v>A</v>
      </c>
      <c r="H251" s="3" t="str">
        <f t="shared" si="4"/>
        <v>P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4" t="s">
        <v>8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5"/>
      <c r="C254" s="6"/>
      <c r="D254" s="7" t="s">
        <v>1</v>
      </c>
      <c r="E254" s="7" t="s">
        <v>2</v>
      </c>
      <c r="F254" s="7" t="s">
        <v>4</v>
      </c>
      <c r="G254" s="7" t="s">
        <v>3</v>
      </c>
      <c r="H254" s="7" t="s">
        <v>5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3" t="s">
        <v>9</v>
      </c>
      <c r="C255" s="3"/>
      <c r="D255" s="8">
        <f t="shared" ref="D255:E255" si="6">MIN(B2:B251)</f>
        <v>10.2</v>
      </c>
      <c r="E255" s="8">
        <f t="shared" si="6"/>
        <v>10.3</v>
      </c>
      <c r="F255" s="8">
        <f>MIN(E2:E251)</f>
        <v>12</v>
      </c>
      <c r="G255" s="8">
        <f>MIN(D2:D251)</f>
        <v>10.1</v>
      </c>
      <c r="H255" s="8">
        <f>MIN(F2:F251)</f>
        <v>18.8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3" t="s">
        <v>10</v>
      </c>
      <c r="C256" s="3"/>
      <c r="D256" s="8">
        <f t="shared" ref="D256:E256" si="7">MAX(B2:B251)</f>
        <v>99.8</v>
      </c>
      <c r="E256" s="8">
        <f t="shared" si="7"/>
        <v>99.4</v>
      </c>
      <c r="F256" s="8">
        <f>MAX(E2:E251)</f>
        <v>95</v>
      </c>
      <c r="G256" s="8">
        <f>MAX(D2:D251)</f>
        <v>100</v>
      </c>
      <c r="H256" s="8">
        <f>MAX(F2:F251)</f>
        <v>92.9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9" t="s">
        <v>11</v>
      </c>
      <c r="C257" s="6"/>
      <c r="D257" s="8">
        <f>AVERAGE(B2:B251)</f>
        <v>54.1336</v>
      </c>
      <c r="E257" s="8">
        <f>AVERAGE(C2:D251)</f>
        <v>55.6038</v>
      </c>
      <c r="F257" s="8">
        <f>AVERAGE(E2:E251)</f>
        <v>54.608</v>
      </c>
      <c r="G257" s="8">
        <f>AVERAGE(D2:D251)</f>
        <v>56.2512</v>
      </c>
      <c r="H257" s="8">
        <f>AVERAGE(F2:F251)</f>
        <v>55.4544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10" t="s">
        <v>12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3" t="s">
        <v>13</v>
      </c>
      <c r="C260" s="3"/>
      <c r="D260" s="3"/>
      <c r="E260" s="7">
        <f>COUNTIF(H2:H251, "P")</f>
        <v>179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3" t="s">
        <v>14</v>
      </c>
      <c r="C261" s="3"/>
      <c r="D261" s="3"/>
      <c r="E261" s="7">
        <f>COUNTIF(H2:H251, "F")</f>
        <v>71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4" t="s">
        <v>15</v>
      </c>
      <c r="C263" s="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3" t="s">
        <v>6</v>
      </c>
      <c r="C264" s="7" t="s">
        <v>16</v>
      </c>
      <c r="D264" s="7" t="s">
        <v>17</v>
      </c>
      <c r="E264" s="7" t="s">
        <v>18</v>
      </c>
      <c r="F264" s="7" t="s">
        <v>19</v>
      </c>
      <c r="G264" s="7" t="s">
        <v>20</v>
      </c>
      <c r="H264" s="7" t="s">
        <v>21</v>
      </c>
      <c r="I264" s="11"/>
      <c r="J264" s="11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3" t="s">
        <v>22</v>
      </c>
      <c r="C265" s="7">
        <f>COUNTIF(G2:G251, "A")</f>
        <v>49</v>
      </c>
      <c r="D265" s="7">
        <f>COUNTIF(G2:G251, "B+")</f>
        <v>50</v>
      </c>
      <c r="E265" s="7">
        <f>COUNTIF(G2:G251, "B")</f>
        <v>60</v>
      </c>
      <c r="F265" s="7">
        <f>COUNTIF(G2:G251, "C")</f>
        <v>44</v>
      </c>
      <c r="G265" s="7">
        <f>COUNTIF(G2:G251, "D")</f>
        <v>17</v>
      </c>
      <c r="H265" s="7">
        <f>COUNTIF(G2:G251, "E")</f>
        <v>30</v>
      </c>
      <c r="I265" s="11"/>
      <c r="J265" s="11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">
    <mergeCell ref="B254:C254"/>
    <mergeCell ref="B257:C25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7.71"/>
    <col customWidth="1" min="3" max="3" width="6.29"/>
    <col customWidth="1" min="4" max="4" width="6.71"/>
    <col customWidth="1" min="5" max="5" width="8.0"/>
    <col customWidth="1" min="6" max="6" width="7.0"/>
    <col customWidth="1" min="7" max="7" width="6.57"/>
    <col customWidth="1" min="8" max="8" width="7.29"/>
    <col customWidth="1" min="9" max="10" width="9.14"/>
    <col customWidth="1" min="1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59.4</v>
      </c>
      <c r="C2" s="3">
        <v>26.3</v>
      </c>
      <c r="D2" s="3">
        <v>81.8</v>
      </c>
      <c r="E2" s="3">
        <f t="shared" ref="E2:E251" si="1">ROUND(B2*0.45 + C2*0.55,0)</f>
        <v>41</v>
      </c>
      <c r="F2" s="3">
        <f t="shared" ref="F2:F3" si="2">ROUND(E2:E251*0.5 + D2:D251*0.5, 1)</f>
        <v>61.4</v>
      </c>
      <c r="G2" s="3" t="str">
        <f t="shared" ref="G2:G251" si="3">IFS(
  F2&gt;=70, "A",
  F2&gt;=60, "B+",
  F2&gt;=50, "B",
  F2&gt;=40, "C",
  F2&gt;=35, "D",
  F2&lt;35, "E"
)</f>
        <v>B+</v>
      </c>
      <c r="H2" s="3" t="str">
        <f t="shared" ref="H2:H251" si="4">IF(F2&gt;=45,"P","F")
</f>
        <v>P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>
        <v>65.9</v>
      </c>
      <c r="C3" s="3">
        <v>29.6</v>
      </c>
      <c r="D3" s="3">
        <v>100.0</v>
      </c>
      <c r="E3" s="3">
        <f t="shared" si="1"/>
        <v>46</v>
      </c>
      <c r="F3" s="3">
        <f t="shared" si="2"/>
        <v>73</v>
      </c>
      <c r="G3" s="3" t="str">
        <f t="shared" si="3"/>
        <v>A</v>
      </c>
      <c r="H3" s="3" t="str">
        <f t="shared" si="4"/>
        <v>P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>
        <v>70.7</v>
      </c>
      <c r="C4" s="3">
        <v>56.3</v>
      </c>
      <c r="D4" s="3">
        <v>70.5</v>
      </c>
      <c r="E4" s="3">
        <f t="shared" si="1"/>
        <v>63</v>
      </c>
      <c r="F4" s="3">
        <f t="shared" ref="F4:F9" si="5">ROUND(E4:E254*0.5 + D4:D254*0.5, 1)</f>
        <v>66.8</v>
      </c>
      <c r="G4" s="3" t="str">
        <f t="shared" si="3"/>
        <v>B+</v>
      </c>
      <c r="H4" s="3" t="str">
        <f t="shared" si="4"/>
        <v>P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>
        <v>27.5</v>
      </c>
      <c r="C5" s="3">
        <v>19.4</v>
      </c>
      <c r="D5" s="3">
        <v>36.7</v>
      </c>
      <c r="E5" s="3">
        <f t="shared" si="1"/>
        <v>23</v>
      </c>
      <c r="F5" s="3">
        <f t="shared" si="5"/>
        <v>29.9</v>
      </c>
      <c r="G5" s="3" t="str">
        <f t="shared" si="3"/>
        <v>E</v>
      </c>
      <c r="H5" s="3" t="str">
        <f t="shared" si="4"/>
        <v>F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>
        <v>45.2</v>
      </c>
      <c r="C6" s="3">
        <v>27.4</v>
      </c>
      <c r="D6" s="3">
        <v>96.4</v>
      </c>
      <c r="E6" s="3">
        <f t="shared" si="1"/>
        <v>35</v>
      </c>
      <c r="F6" s="3">
        <f t="shared" si="5"/>
        <v>65.7</v>
      </c>
      <c r="G6" s="3" t="str">
        <f t="shared" si="3"/>
        <v>B+</v>
      </c>
      <c r="H6" s="3" t="str">
        <f t="shared" si="4"/>
        <v>P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>
        <v>65.7</v>
      </c>
      <c r="C7" s="3">
        <v>29.1</v>
      </c>
      <c r="D7" s="3">
        <v>80.4</v>
      </c>
      <c r="E7" s="3">
        <f t="shared" si="1"/>
        <v>46</v>
      </c>
      <c r="F7" s="3">
        <f t="shared" si="5"/>
        <v>63.2</v>
      </c>
      <c r="G7" s="3" t="str">
        <f t="shared" si="3"/>
        <v>B+</v>
      </c>
      <c r="H7" s="3" t="str">
        <f t="shared" si="4"/>
        <v>P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>
        <v>88.2</v>
      </c>
      <c r="C8" s="3">
        <v>31.2</v>
      </c>
      <c r="D8" s="3">
        <v>77.8</v>
      </c>
      <c r="E8" s="3">
        <f t="shared" si="1"/>
        <v>57</v>
      </c>
      <c r="F8" s="3">
        <f t="shared" si="5"/>
        <v>67.4</v>
      </c>
      <c r="G8" s="3" t="str">
        <f t="shared" si="3"/>
        <v>B+</v>
      </c>
      <c r="H8" s="3" t="str">
        <f t="shared" si="4"/>
        <v>P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>
        <v>82.6</v>
      </c>
      <c r="C9" s="3">
        <v>70.9</v>
      </c>
      <c r="D9" s="3">
        <v>71.3</v>
      </c>
      <c r="E9" s="3">
        <f t="shared" si="1"/>
        <v>76</v>
      </c>
      <c r="F9" s="3">
        <f t="shared" si="5"/>
        <v>73.7</v>
      </c>
      <c r="G9" s="3" t="str">
        <f t="shared" si="3"/>
        <v>A</v>
      </c>
      <c r="H9" s="3" t="str">
        <f t="shared" si="4"/>
        <v>P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>
        <v>58.6</v>
      </c>
      <c r="C10" s="3">
        <v>52.2</v>
      </c>
      <c r="D10" s="3">
        <v>31.0</v>
      </c>
      <c r="E10" s="3">
        <f t="shared" si="1"/>
        <v>55</v>
      </c>
      <c r="F10" s="3">
        <f t="shared" ref="F10:F251" si="6">ROUND(E10:E261*0.5 + D10:D261*0.5, 1)</f>
        <v>43</v>
      </c>
      <c r="G10" s="3" t="str">
        <f t="shared" si="3"/>
        <v>C</v>
      </c>
      <c r="H10" s="3" t="str">
        <f t="shared" si="4"/>
        <v>F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>
        <v>84.1</v>
      </c>
      <c r="C11" s="3">
        <v>71.5</v>
      </c>
      <c r="D11" s="3">
        <v>25.1</v>
      </c>
      <c r="E11" s="3">
        <f t="shared" si="1"/>
        <v>77</v>
      </c>
      <c r="F11" s="3">
        <f t="shared" si="6"/>
        <v>51.1</v>
      </c>
      <c r="G11" s="3" t="str">
        <f t="shared" si="3"/>
        <v>B</v>
      </c>
      <c r="H11" s="3" t="str">
        <f t="shared" si="4"/>
        <v>P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>
        <v>84.5</v>
      </c>
      <c r="C12" s="3">
        <v>78.7</v>
      </c>
      <c r="D12" s="3">
        <v>93.4</v>
      </c>
      <c r="E12" s="3">
        <f t="shared" si="1"/>
        <v>81</v>
      </c>
      <c r="F12" s="3">
        <f t="shared" si="6"/>
        <v>87.2</v>
      </c>
      <c r="G12" s="3" t="str">
        <f t="shared" si="3"/>
        <v>A</v>
      </c>
      <c r="H12" s="3" t="str">
        <f t="shared" si="4"/>
        <v>P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>
        <v>63.6</v>
      </c>
      <c r="C13" s="3">
        <v>67.5</v>
      </c>
      <c r="D13" s="3">
        <v>63.9</v>
      </c>
      <c r="E13" s="3">
        <f t="shared" si="1"/>
        <v>66</v>
      </c>
      <c r="F13" s="3">
        <f t="shared" si="6"/>
        <v>65</v>
      </c>
      <c r="G13" s="3" t="str">
        <f t="shared" si="3"/>
        <v>B+</v>
      </c>
      <c r="H13" s="3" t="str">
        <f t="shared" si="4"/>
        <v>P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>
        <v>15.7</v>
      </c>
      <c r="C14" s="3">
        <v>11.1</v>
      </c>
      <c r="D14" s="3">
        <v>82.5</v>
      </c>
      <c r="E14" s="3">
        <f t="shared" si="1"/>
        <v>13</v>
      </c>
      <c r="F14" s="3">
        <f t="shared" si="6"/>
        <v>47.8</v>
      </c>
      <c r="G14" s="3" t="str">
        <f t="shared" si="3"/>
        <v>C</v>
      </c>
      <c r="H14" s="3" t="str">
        <f t="shared" si="4"/>
        <v>P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>
        <v>76.8</v>
      </c>
      <c r="C15" s="3">
        <v>23.4</v>
      </c>
      <c r="D15" s="3">
        <v>99.0</v>
      </c>
      <c r="E15" s="3">
        <f t="shared" si="1"/>
        <v>47</v>
      </c>
      <c r="F15" s="3">
        <f t="shared" si="6"/>
        <v>73</v>
      </c>
      <c r="G15" s="3" t="str">
        <f t="shared" si="3"/>
        <v>A</v>
      </c>
      <c r="H15" s="3" t="str">
        <f t="shared" si="4"/>
        <v>P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>
        <v>99.8</v>
      </c>
      <c r="C16" s="3">
        <v>38.7</v>
      </c>
      <c r="D16" s="3">
        <v>78.5</v>
      </c>
      <c r="E16" s="3">
        <f t="shared" si="1"/>
        <v>66</v>
      </c>
      <c r="F16" s="3">
        <f t="shared" si="6"/>
        <v>72.3</v>
      </c>
      <c r="G16" s="3" t="str">
        <f t="shared" si="3"/>
        <v>A</v>
      </c>
      <c r="H16" s="3" t="str">
        <f t="shared" si="4"/>
        <v>P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>
        <v>29.5</v>
      </c>
      <c r="C17" s="3">
        <v>95.2</v>
      </c>
      <c r="D17" s="3">
        <v>96.4</v>
      </c>
      <c r="E17" s="3">
        <f t="shared" si="1"/>
        <v>66</v>
      </c>
      <c r="F17" s="3">
        <f t="shared" si="6"/>
        <v>81.2</v>
      </c>
      <c r="G17" s="3" t="str">
        <f t="shared" si="3"/>
        <v>A</v>
      </c>
      <c r="H17" s="3" t="str">
        <f t="shared" si="4"/>
        <v>P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>
        <v>36.3</v>
      </c>
      <c r="C18" s="3">
        <v>28.8</v>
      </c>
      <c r="D18" s="3">
        <v>56.6</v>
      </c>
      <c r="E18" s="3">
        <f t="shared" si="1"/>
        <v>32</v>
      </c>
      <c r="F18" s="3">
        <f t="shared" si="6"/>
        <v>44.3</v>
      </c>
      <c r="G18" s="3" t="str">
        <f t="shared" si="3"/>
        <v>C</v>
      </c>
      <c r="H18" s="3" t="str">
        <f t="shared" si="4"/>
        <v>F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>
        <v>79.4</v>
      </c>
      <c r="C19" s="3">
        <v>96.4</v>
      </c>
      <c r="D19" s="3">
        <v>15.7</v>
      </c>
      <c r="E19" s="3">
        <f t="shared" si="1"/>
        <v>89</v>
      </c>
      <c r="F19" s="3">
        <f t="shared" si="6"/>
        <v>52.4</v>
      </c>
      <c r="G19" s="3" t="str">
        <f t="shared" si="3"/>
        <v>B</v>
      </c>
      <c r="H19" s="3" t="str">
        <f t="shared" si="4"/>
        <v>P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>
        <v>75.0</v>
      </c>
      <c r="C20" s="3">
        <v>12.2</v>
      </c>
      <c r="D20" s="3">
        <v>72.1</v>
      </c>
      <c r="E20" s="3">
        <f t="shared" si="1"/>
        <v>40</v>
      </c>
      <c r="F20" s="3">
        <f t="shared" si="6"/>
        <v>56.1</v>
      </c>
      <c r="G20" s="3" t="str">
        <f t="shared" si="3"/>
        <v>B</v>
      </c>
      <c r="H20" s="3" t="str">
        <f t="shared" si="4"/>
        <v>P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>
        <v>20.0</v>
      </c>
      <c r="B21" s="3">
        <v>95.1</v>
      </c>
      <c r="C21" s="3">
        <v>83.3</v>
      </c>
      <c r="D21" s="3">
        <v>47.0</v>
      </c>
      <c r="E21" s="3">
        <f t="shared" si="1"/>
        <v>89</v>
      </c>
      <c r="F21" s="3">
        <f t="shared" si="6"/>
        <v>68</v>
      </c>
      <c r="G21" s="3" t="str">
        <f t="shared" si="3"/>
        <v>B+</v>
      </c>
      <c r="H21" s="3" t="str">
        <f t="shared" si="4"/>
        <v>P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21.0</v>
      </c>
      <c r="B22" s="3">
        <v>86.4</v>
      </c>
      <c r="C22" s="3">
        <v>84.6</v>
      </c>
      <c r="D22" s="3">
        <v>53.8</v>
      </c>
      <c r="E22" s="3">
        <f t="shared" si="1"/>
        <v>85</v>
      </c>
      <c r="F22" s="3">
        <f t="shared" si="6"/>
        <v>69.4</v>
      </c>
      <c r="G22" s="3" t="str">
        <f t="shared" si="3"/>
        <v>B+</v>
      </c>
      <c r="H22" s="3" t="str">
        <f t="shared" si="4"/>
        <v>P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>
        <v>22.0</v>
      </c>
      <c r="B23" s="3">
        <v>50.4</v>
      </c>
      <c r="C23" s="3">
        <v>65.5</v>
      </c>
      <c r="D23" s="3">
        <v>68.3</v>
      </c>
      <c r="E23" s="3">
        <f t="shared" si="1"/>
        <v>59</v>
      </c>
      <c r="F23" s="3">
        <f t="shared" si="6"/>
        <v>63.7</v>
      </c>
      <c r="G23" s="3" t="str">
        <f t="shared" si="3"/>
        <v>B+</v>
      </c>
      <c r="H23" s="3" t="str">
        <f t="shared" si="4"/>
        <v>P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>
        <v>23.0</v>
      </c>
      <c r="B24" s="3">
        <v>19.3</v>
      </c>
      <c r="C24" s="3">
        <v>18.9</v>
      </c>
      <c r="D24" s="3">
        <v>54.8</v>
      </c>
      <c r="E24" s="3">
        <f t="shared" si="1"/>
        <v>19</v>
      </c>
      <c r="F24" s="3">
        <f t="shared" si="6"/>
        <v>36.9</v>
      </c>
      <c r="G24" s="3" t="str">
        <f t="shared" si="3"/>
        <v>D</v>
      </c>
      <c r="H24" s="3" t="str">
        <f t="shared" si="4"/>
        <v>F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>
        <v>24.0</v>
      </c>
      <c r="B25" s="3">
        <v>19.8</v>
      </c>
      <c r="C25" s="3">
        <v>51.5</v>
      </c>
      <c r="D25" s="3">
        <v>49.5</v>
      </c>
      <c r="E25" s="3">
        <f t="shared" si="1"/>
        <v>37</v>
      </c>
      <c r="F25" s="3">
        <f t="shared" si="6"/>
        <v>43.3</v>
      </c>
      <c r="G25" s="3" t="str">
        <f t="shared" si="3"/>
        <v>C</v>
      </c>
      <c r="H25" s="3" t="str">
        <f t="shared" si="4"/>
        <v>F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25.0</v>
      </c>
      <c r="B26" s="3">
        <v>20.2</v>
      </c>
      <c r="C26" s="3">
        <v>17.2</v>
      </c>
      <c r="D26" s="3">
        <v>53.7</v>
      </c>
      <c r="E26" s="3">
        <f t="shared" si="1"/>
        <v>19</v>
      </c>
      <c r="F26" s="3">
        <f t="shared" si="6"/>
        <v>36.4</v>
      </c>
      <c r="G26" s="3" t="str">
        <f t="shared" si="3"/>
        <v>D</v>
      </c>
      <c r="H26" s="3" t="str">
        <f t="shared" si="4"/>
        <v>F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>
        <v>26.0</v>
      </c>
      <c r="B27" s="3">
        <v>46.8</v>
      </c>
      <c r="C27" s="3">
        <v>93.3</v>
      </c>
      <c r="D27" s="3">
        <v>69.5</v>
      </c>
      <c r="E27" s="3">
        <f t="shared" si="1"/>
        <v>72</v>
      </c>
      <c r="F27" s="3">
        <f t="shared" si="6"/>
        <v>70.8</v>
      </c>
      <c r="G27" s="3" t="str">
        <f t="shared" si="3"/>
        <v>A</v>
      </c>
      <c r="H27" s="3" t="str">
        <f t="shared" si="4"/>
        <v>P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>
        <v>27.0</v>
      </c>
      <c r="B28" s="3">
        <v>27.7</v>
      </c>
      <c r="C28" s="3">
        <v>26.0</v>
      </c>
      <c r="D28" s="3">
        <v>48.7</v>
      </c>
      <c r="E28" s="3">
        <f t="shared" si="1"/>
        <v>27</v>
      </c>
      <c r="F28" s="3">
        <f t="shared" si="6"/>
        <v>37.9</v>
      </c>
      <c r="G28" s="3" t="str">
        <f t="shared" si="3"/>
        <v>D</v>
      </c>
      <c r="H28" s="3" t="str">
        <f t="shared" si="4"/>
        <v>F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>
        <v>28.0</v>
      </c>
      <c r="B29" s="3">
        <v>17.3</v>
      </c>
      <c r="C29" s="3">
        <v>27.9</v>
      </c>
      <c r="D29" s="3">
        <v>71.2</v>
      </c>
      <c r="E29" s="3">
        <f t="shared" si="1"/>
        <v>23</v>
      </c>
      <c r="F29" s="3">
        <f t="shared" si="6"/>
        <v>47.1</v>
      </c>
      <c r="G29" s="3" t="str">
        <f t="shared" si="3"/>
        <v>C</v>
      </c>
      <c r="H29" s="3" t="str">
        <f t="shared" si="4"/>
        <v>P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>
        <v>29.0</v>
      </c>
      <c r="B30" s="3">
        <v>77.7</v>
      </c>
      <c r="C30" s="3">
        <v>80.5</v>
      </c>
      <c r="D30" s="3">
        <v>37.0</v>
      </c>
      <c r="E30" s="3">
        <f t="shared" si="1"/>
        <v>79</v>
      </c>
      <c r="F30" s="3">
        <f t="shared" si="6"/>
        <v>58</v>
      </c>
      <c r="G30" s="3" t="str">
        <f t="shared" si="3"/>
        <v>B</v>
      </c>
      <c r="H30" s="3" t="str">
        <f t="shared" si="4"/>
        <v>P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>
        <v>30.0</v>
      </c>
      <c r="B31" s="3">
        <v>47.4</v>
      </c>
      <c r="C31" s="3">
        <v>68.1</v>
      </c>
      <c r="D31" s="3">
        <v>40.5</v>
      </c>
      <c r="E31" s="3">
        <f t="shared" si="1"/>
        <v>59</v>
      </c>
      <c r="F31" s="3">
        <f t="shared" si="6"/>
        <v>49.8</v>
      </c>
      <c r="G31" s="3" t="str">
        <f t="shared" si="3"/>
        <v>C</v>
      </c>
      <c r="H31" s="3" t="str">
        <f t="shared" si="4"/>
        <v>P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31.0</v>
      </c>
      <c r="B32" s="3">
        <v>71.0</v>
      </c>
      <c r="C32" s="3">
        <v>75.6</v>
      </c>
      <c r="D32" s="3">
        <v>23.0</v>
      </c>
      <c r="E32" s="3">
        <f t="shared" si="1"/>
        <v>74</v>
      </c>
      <c r="F32" s="3">
        <f t="shared" si="6"/>
        <v>48.5</v>
      </c>
      <c r="G32" s="3" t="str">
        <f t="shared" si="3"/>
        <v>C</v>
      </c>
      <c r="H32" s="3" t="str">
        <f t="shared" si="4"/>
        <v>P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>
        <v>32.0</v>
      </c>
      <c r="B33" s="3">
        <v>65.4</v>
      </c>
      <c r="C33" s="3">
        <v>50.7</v>
      </c>
      <c r="D33" s="3">
        <v>10.2</v>
      </c>
      <c r="E33" s="3">
        <f t="shared" si="1"/>
        <v>57</v>
      </c>
      <c r="F33" s="3">
        <f t="shared" si="6"/>
        <v>33.6</v>
      </c>
      <c r="G33" s="3" t="str">
        <f t="shared" si="3"/>
        <v>E</v>
      </c>
      <c r="H33" s="3" t="str">
        <f t="shared" si="4"/>
        <v>F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>
        <v>33.0</v>
      </c>
      <c r="B34" s="3">
        <v>25.4</v>
      </c>
      <c r="C34" s="3">
        <v>43.9</v>
      </c>
      <c r="D34" s="3">
        <v>39.5</v>
      </c>
      <c r="E34" s="3">
        <f t="shared" si="1"/>
        <v>36</v>
      </c>
      <c r="F34" s="3">
        <f t="shared" si="6"/>
        <v>37.8</v>
      </c>
      <c r="G34" s="3" t="str">
        <f t="shared" si="3"/>
        <v>D</v>
      </c>
      <c r="H34" s="3" t="str">
        <f t="shared" si="4"/>
        <v>F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>
        <v>34.0</v>
      </c>
      <c r="B35" s="3">
        <v>43.2</v>
      </c>
      <c r="C35" s="3">
        <v>25.4</v>
      </c>
      <c r="D35" s="3">
        <v>76.2</v>
      </c>
      <c r="E35" s="3">
        <f t="shared" si="1"/>
        <v>33</v>
      </c>
      <c r="F35" s="3">
        <f t="shared" si="6"/>
        <v>54.6</v>
      </c>
      <c r="G35" s="3" t="str">
        <f t="shared" si="3"/>
        <v>B</v>
      </c>
      <c r="H35" s="3" t="str">
        <f t="shared" si="4"/>
        <v>P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>
        <v>35.0</v>
      </c>
      <c r="B36" s="3">
        <v>31.9</v>
      </c>
      <c r="C36" s="3">
        <v>80.7</v>
      </c>
      <c r="D36" s="3">
        <v>31.0</v>
      </c>
      <c r="E36" s="3">
        <f t="shared" si="1"/>
        <v>59</v>
      </c>
      <c r="F36" s="3">
        <f t="shared" si="6"/>
        <v>45</v>
      </c>
      <c r="G36" s="3" t="str">
        <f t="shared" si="3"/>
        <v>C</v>
      </c>
      <c r="H36" s="3" t="str">
        <f t="shared" si="4"/>
        <v>P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>
        <v>36.0</v>
      </c>
      <c r="B37" s="3">
        <v>99.0</v>
      </c>
      <c r="C37" s="3">
        <v>11.4</v>
      </c>
      <c r="D37" s="3">
        <v>60.0</v>
      </c>
      <c r="E37" s="3">
        <f t="shared" si="1"/>
        <v>51</v>
      </c>
      <c r="F37" s="3">
        <f t="shared" si="6"/>
        <v>55.5</v>
      </c>
      <c r="G37" s="3" t="str">
        <f t="shared" si="3"/>
        <v>B</v>
      </c>
      <c r="H37" s="3" t="str">
        <f t="shared" si="4"/>
        <v>P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>
        <v>37.0</v>
      </c>
      <c r="B38" s="3">
        <v>30.7</v>
      </c>
      <c r="C38" s="3">
        <v>57.6</v>
      </c>
      <c r="D38" s="3">
        <v>21.9</v>
      </c>
      <c r="E38" s="3">
        <f t="shared" si="1"/>
        <v>45</v>
      </c>
      <c r="F38" s="3">
        <f t="shared" si="6"/>
        <v>33.5</v>
      </c>
      <c r="G38" s="3" t="str">
        <f t="shared" si="3"/>
        <v>E</v>
      </c>
      <c r="H38" s="3" t="str">
        <f t="shared" si="4"/>
        <v>F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>
        <v>38.0</v>
      </c>
      <c r="B39" s="3">
        <v>85.5</v>
      </c>
      <c r="C39" s="3">
        <v>46.0</v>
      </c>
      <c r="D39" s="3">
        <v>12.0</v>
      </c>
      <c r="E39" s="3">
        <f t="shared" si="1"/>
        <v>64</v>
      </c>
      <c r="F39" s="3">
        <f t="shared" si="6"/>
        <v>38</v>
      </c>
      <c r="G39" s="3" t="str">
        <f t="shared" si="3"/>
        <v>D</v>
      </c>
      <c r="H39" s="3" t="str">
        <f t="shared" si="4"/>
        <v>F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>
        <v>39.0</v>
      </c>
      <c r="B40" s="3">
        <v>76.8</v>
      </c>
      <c r="C40" s="3">
        <v>66.5</v>
      </c>
      <c r="D40" s="3">
        <v>99.5</v>
      </c>
      <c r="E40" s="3">
        <f t="shared" si="1"/>
        <v>71</v>
      </c>
      <c r="F40" s="3">
        <f t="shared" si="6"/>
        <v>85.3</v>
      </c>
      <c r="G40" s="3" t="str">
        <f t="shared" si="3"/>
        <v>A</v>
      </c>
      <c r="H40" s="3" t="str">
        <f t="shared" si="4"/>
        <v>P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>
        <v>40.0</v>
      </c>
      <c r="B41" s="3">
        <v>50.6</v>
      </c>
      <c r="C41" s="3">
        <v>41.8</v>
      </c>
      <c r="D41" s="3">
        <v>34.8</v>
      </c>
      <c r="E41" s="3">
        <f t="shared" si="1"/>
        <v>46</v>
      </c>
      <c r="F41" s="3">
        <f t="shared" si="6"/>
        <v>40.4</v>
      </c>
      <c r="G41" s="3" t="str">
        <f t="shared" si="3"/>
        <v>C</v>
      </c>
      <c r="H41" s="3" t="str">
        <f t="shared" si="4"/>
        <v>F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>
        <v>41.0</v>
      </c>
      <c r="B42" s="3">
        <v>32.7</v>
      </c>
      <c r="C42" s="3">
        <v>21.3</v>
      </c>
      <c r="D42" s="3">
        <v>11.6</v>
      </c>
      <c r="E42" s="3">
        <f t="shared" si="1"/>
        <v>26</v>
      </c>
      <c r="F42" s="3">
        <f t="shared" si="6"/>
        <v>18.8</v>
      </c>
      <c r="G42" s="3" t="str">
        <f t="shared" si="3"/>
        <v>E</v>
      </c>
      <c r="H42" s="3" t="str">
        <f t="shared" si="4"/>
        <v>F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>
        <v>42.0</v>
      </c>
      <c r="B43" s="3">
        <v>59.0</v>
      </c>
      <c r="C43" s="3">
        <v>16.4</v>
      </c>
      <c r="D43" s="3">
        <v>88.8</v>
      </c>
      <c r="E43" s="3">
        <f t="shared" si="1"/>
        <v>36</v>
      </c>
      <c r="F43" s="3">
        <f t="shared" si="6"/>
        <v>62.4</v>
      </c>
      <c r="G43" s="3" t="str">
        <f t="shared" si="3"/>
        <v>B+</v>
      </c>
      <c r="H43" s="3" t="str">
        <f t="shared" si="4"/>
        <v>P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>
        <v>43.0</v>
      </c>
      <c r="B44" s="3">
        <v>58.9</v>
      </c>
      <c r="C44" s="3">
        <v>41.0</v>
      </c>
      <c r="D44" s="3">
        <v>71.1</v>
      </c>
      <c r="E44" s="3">
        <f t="shared" si="1"/>
        <v>49</v>
      </c>
      <c r="F44" s="3">
        <f t="shared" si="6"/>
        <v>60.1</v>
      </c>
      <c r="G44" s="3" t="str">
        <f t="shared" si="3"/>
        <v>B+</v>
      </c>
      <c r="H44" s="3" t="str">
        <f t="shared" si="4"/>
        <v>P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>
        <v>44.0</v>
      </c>
      <c r="B45" s="3">
        <v>60.9</v>
      </c>
      <c r="C45" s="3">
        <v>48.9</v>
      </c>
      <c r="D45" s="3">
        <v>28.5</v>
      </c>
      <c r="E45" s="3">
        <f t="shared" si="1"/>
        <v>54</v>
      </c>
      <c r="F45" s="3">
        <f t="shared" si="6"/>
        <v>41.3</v>
      </c>
      <c r="G45" s="3" t="str">
        <f t="shared" si="3"/>
        <v>C</v>
      </c>
      <c r="H45" s="3" t="str">
        <f t="shared" si="4"/>
        <v>F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>
        <v>45.0</v>
      </c>
      <c r="B46" s="3">
        <v>38.7</v>
      </c>
      <c r="C46" s="3">
        <v>71.3</v>
      </c>
      <c r="D46" s="3">
        <v>65.3</v>
      </c>
      <c r="E46" s="3">
        <f t="shared" si="1"/>
        <v>57</v>
      </c>
      <c r="F46" s="3">
        <f t="shared" si="6"/>
        <v>61.2</v>
      </c>
      <c r="G46" s="3" t="str">
        <f t="shared" si="3"/>
        <v>B+</v>
      </c>
      <c r="H46" s="3" t="str">
        <f t="shared" si="4"/>
        <v>P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>
        <v>46.0</v>
      </c>
      <c r="B47" s="3">
        <v>20.0</v>
      </c>
      <c r="C47" s="3">
        <v>59.7</v>
      </c>
      <c r="D47" s="3">
        <v>89.1</v>
      </c>
      <c r="E47" s="3">
        <f t="shared" si="1"/>
        <v>42</v>
      </c>
      <c r="F47" s="3">
        <f t="shared" si="6"/>
        <v>65.6</v>
      </c>
      <c r="G47" s="3" t="str">
        <f t="shared" si="3"/>
        <v>B+</v>
      </c>
      <c r="H47" s="3" t="str">
        <f t="shared" si="4"/>
        <v>P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>
        <v>47.0</v>
      </c>
      <c r="B48" s="3">
        <v>84.8</v>
      </c>
      <c r="C48" s="3">
        <v>10.8</v>
      </c>
      <c r="D48" s="3">
        <v>22.2</v>
      </c>
      <c r="E48" s="3">
        <f t="shared" si="1"/>
        <v>44</v>
      </c>
      <c r="F48" s="3">
        <f t="shared" si="6"/>
        <v>33.1</v>
      </c>
      <c r="G48" s="3" t="str">
        <f t="shared" si="3"/>
        <v>E</v>
      </c>
      <c r="H48" s="3" t="str">
        <f t="shared" si="4"/>
        <v>F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>
        <v>48.0</v>
      </c>
      <c r="B49" s="3">
        <v>50.9</v>
      </c>
      <c r="C49" s="3">
        <v>35.0</v>
      </c>
      <c r="D49" s="3">
        <v>38.1</v>
      </c>
      <c r="E49" s="3">
        <f t="shared" si="1"/>
        <v>42</v>
      </c>
      <c r="F49" s="3">
        <f t="shared" si="6"/>
        <v>40.1</v>
      </c>
      <c r="G49" s="3" t="str">
        <f t="shared" si="3"/>
        <v>C</v>
      </c>
      <c r="H49" s="3" t="str">
        <f t="shared" si="4"/>
        <v>F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>
        <v>49.0</v>
      </c>
      <c r="B50" s="3">
        <v>80.4</v>
      </c>
      <c r="C50" s="3">
        <v>67.5</v>
      </c>
      <c r="D50" s="3">
        <v>58.9</v>
      </c>
      <c r="E50" s="3">
        <f t="shared" si="1"/>
        <v>73</v>
      </c>
      <c r="F50" s="3">
        <f t="shared" si="6"/>
        <v>66</v>
      </c>
      <c r="G50" s="3" t="str">
        <f t="shared" si="3"/>
        <v>B+</v>
      </c>
      <c r="H50" s="3" t="str">
        <f t="shared" si="4"/>
        <v>P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>
        <v>50.0</v>
      </c>
      <c r="B51" s="3">
        <v>71.5</v>
      </c>
      <c r="C51" s="3">
        <v>76.9</v>
      </c>
      <c r="D51" s="3">
        <v>37.4</v>
      </c>
      <c r="E51" s="3">
        <f t="shared" si="1"/>
        <v>74</v>
      </c>
      <c r="F51" s="3">
        <f t="shared" si="6"/>
        <v>55.7</v>
      </c>
      <c r="G51" s="3" t="str">
        <f t="shared" si="3"/>
        <v>B</v>
      </c>
      <c r="H51" s="3" t="str">
        <f t="shared" si="4"/>
        <v>P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>
        <v>51.0</v>
      </c>
      <c r="B52" s="3">
        <v>92.0</v>
      </c>
      <c r="C52" s="3">
        <v>31.7</v>
      </c>
      <c r="D52" s="3">
        <v>31.2</v>
      </c>
      <c r="E52" s="3">
        <f t="shared" si="1"/>
        <v>59</v>
      </c>
      <c r="F52" s="3">
        <f t="shared" si="6"/>
        <v>45.1</v>
      </c>
      <c r="G52" s="3" t="str">
        <f t="shared" si="3"/>
        <v>C</v>
      </c>
      <c r="H52" s="3" t="str">
        <f t="shared" si="4"/>
        <v>P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>
        <v>52.0</v>
      </c>
      <c r="B53" s="3">
        <v>30.6</v>
      </c>
      <c r="C53" s="3">
        <v>71.9</v>
      </c>
      <c r="D53" s="3">
        <v>42.5</v>
      </c>
      <c r="E53" s="3">
        <f t="shared" si="1"/>
        <v>53</v>
      </c>
      <c r="F53" s="3">
        <f t="shared" si="6"/>
        <v>47.8</v>
      </c>
      <c r="G53" s="3" t="str">
        <f t="shared" si="3"/>
        <v>C</v>
      </c>
      <c r="H53" s="3" t="str">
        <f t="shared" si="4"/>
        <v>P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>
        <v>53.0</v>
      </c>
      <c r="B54" s="3">
        <v>49.8</v>
      </c>
      <c r="C54" s="3">
        <v>30.0</v>
      </c>
      <c r="D54" s="3">
        <v>15.2</v>
      </c>
      <c r="E54" s="3">
        <f t="shared" si="1"/>
        <v>39</v>
      </c>
      <c r="F54" s="3">
        <f t="shared" si="6"/>
        <v>27.1</v>
      </c>
      <c r="G54" s="3" t="str">
        <f t="shared" si="3"/>
        <v>E</v>
      </c>
      <c r="H54" s="3" t="str">
        <f t="shared" si="4"/>
        <v>F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>
        <v>54.0</v>
      </c>
      <c r="B55" s="3">
        <v>33.3</v>
      </c>
      <c r="C55" s="3">
        <v>51.7</v>
      </c>
      <c r="D55" s="3">
        <v>57.6</v>
      </c>
      <c r="E55" s="3">
        <f t="shared" si="1"/>
        <v>43</v>
      </c>
      <c r="F55" s="3">
        <f t="shared" si="6"/>
        <v>50.3</v>
      </c>
      <c r="G55" s="3" t="str">
        <f t="shared" si="3"/>
        <v>B</v>
      </c>
      <c r="H55" s="3" t="str">
        <f t="shared" si="4"/>
        <v>P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>
        <v>55.0</v>
      </c>
      <c r="B56" s="3">
        <v>63.8</v>
      </c>
      <c r="C56" s="3">
        <v>28.4</v>
      </c>
      <c r="D56" s="3">
        <v>86.8</v>
      </c>
      <c r="E56" s="3">
        <f t="shared" si="1"/>
        <v>44</v>
      </c>
      <c r="F56" s="3">
        <f t="shared" si="6"/>
        <v>65.4</v>
      </c>
      <c r="G56" s="3" t="str">
        <f t="shared" si="3"/>
        <v>B+</v>
      </c>
      <c r="H56" s="3" t="str">
        <f t="shared" si="4"/>
        <v>P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>
        <v>56.0</v>
      </c>
      <c r="B57" s="3">
        <v>58.8</v>
      </c>
      <c r="C57" s="3">
        <v>41.1</v>
      </c>
      <c r="D57" s="3">
        <v>62.6</v>
      </c>
      <c r="E57" s="3">
        <f t="shared" si="1"/>
        <v>49</v>
      </c>
      <c r="F57" s="3">
        <f t="shared" si="6"/>
        <v>55.8</v>
      </c>
      <c r="G57" s="3" t="str">
        <f t="shared" si="3"/>
        <v>B</v>
      </c>
      <c r="H57" s="3" t="str">
        <f t="shared" si="4"/>
        <v>P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>
        <v>57.0</v>
      </c>
      <c r="B58" s="3">
        <v>67.8</v>
      </c>
      <c r="C58" s="3">
        <v>50.4</v>
      </c>
      <c r="D58" s="3">
        <v>57.1</v>
      </c>
      <c r="E58" s="3">
        <f t="shared" si="1"/>
        <v>58</v>
      </c>
      <c r="F58" s="3">
        <f t="shared" si="6"/>
        <v>57.6</v>
      </c>
      <c r="G58" s="3" t="str">
        <f t="shared" si="3"/>
        <v>B</v>
      </c>
      <c r="H58" s="3" t="str">
        <f t="shared" si="4"/>
        <v>P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>
        <v>58.0</v>
      </c>
      <c r="B59" s="3">
        <v>28.2</v>
      </c>
      <c r="C59" s="3">
        <v>92.1</v>
      </c>
      <c r="D59" s="3">
        <v>75.9</v>
      </c>
      <c r="E59" s="3">
        <f t="shared" si="1"/>
        <v>63</v>
      </c>
      <c r="F59" s="3">
        <f t="shared" si="6"/>
        <v>69.5</v>
      </c>
      <c r="G59" s="3" t="str">
        <f t="shared" si="3"/>
        <v>B+</v>
      </c>
      <c r="H59" s="3" t="str">
        <f t="shared" si="4"/>
        <v>P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>
        <v>59.0</v>
      </c>
      <c r="B60" s="3">
        <v>57.8</v>
      </c>
      <c r="C60" s="3">
        <v>44.7</v>
      </c>
      <c r="D60" s="3">
        <v>53.3</v>
      </c>
      <c r="E60" s="3">
        <f t="shared" si="1"/>
        <v>51</v>
      </c>
      <c r="F60" s="3">
        <f t="shared" si="6"/>
        <v>52.2</v>
      </c>
      <c r="G60" s="3" t="str">
        <f t="shared" si="3"/>
        <v>B</v>
      </c>
      <c r="H60" s="3" t="str">
        <f t="shared" si="4"/>
        <v>P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>
        <v>60.0</v>
      </c>
      <c r="B61" s="3">
        <v>67.1</v>
      </c>
      <c r="C61" s="3">
        <v>79.3</v>
      </c>
      <c r="D61" s="3">
        <v>39.2</v>
      </c>
      <c r="E61" s="3">
        <f t="shared" si="1"/>
        <v>74</v>
      </c>
      <c r="F61" s="3">
        <f t="shared" si="6"/>
        <v>56.6</v>
      </c>
      <c r="G61" s="3" t="str">
        <f t="shared" si="3"/>
        <v>B</v>
      </c>
      <c r="H61" s="3" t="str">
        <f t="shared" si="4"/>
        <v>P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>
        <v>61.0</v>
      </c>
      <c r="B62" s="3">
        <v>17.6</v>
      </c>
      <c r="C62" s="3">
        <v>96.0</v>
      </c>
      <c r="D62" s="3">
        <v>44.4</v>
      </c>
      <c r="E62" s="3">
        <f t="shared" si="1"/>
        <v>61</v>
      </c>
      <c r="F62" s="3">
        <f t="shared" si="6"/>
        <v>52.7</v>
      </c>
      <c r="G62" s="3" t="str">
        <f t="shared" si="3"/>
        <v>B</v>
      </c>
      <c r="H62" s="3" t="str">
        <f t="shared" si="4"/>
        <v>P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>
        <v>62.0</v>
      </c>
      <c r="B63" s="3">
        <v>89.9</v>
      </c>
      <c r="C63" s="3">
        <v>46.3</v>
      </c>
      <c r="D63" s="3">
        <v>87.1</v>
      </c>
      <c r="E63" s="3">
        <f t="shared" si="1"/>
        <v>66</v>
      </c>
      <c r="F63" s="3">
        <f t="shared" si="6"/>
        <v>76.6</v>
      </c>
      <c r="G63" s="3" t="str">
        <f t="shared" si="3"/>
        <v>A</v>
      </c>
      <c r="H63" s="3" t="str">
        <f t="shared" si="4"/>
        <v>P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>
        <v>63.0</v>
      </c>
      <c r="B64" s="3">
        <v>89.8</v>
      </c>
      <c r="C64" s="3">
        <v>34.0</v>
      </c>
      <c r="D64" s="3">
        <v>97.4</v>
      </c>
      <c r="E64" s="3">
        <f t="shared" si="1"/>
        <v>59</v>
      </c>
      <c r="F64" s="3">
        <f t="shared" si="6"/>
        <v>78.2</v>
      </c>
      <c r="G64" s="3" t="str">
        <f t="shared" si="3"/>
        <v>A</v>
      </c>
      <c r="H64" s="3" t="str">
        <f t="shared" si="4"/>
        <v>P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>
        <v>64.0</v>
      </c>
      <c r="B65" s="3">
        <v>33.1</v>
      </c>
      <c r="C65" s="3">
        <v>61.6</v>
      </c>
      <c r="D65" s="3">
        <v>78.6</v>
      </c>
      <c r="E65" s="3">
        <f t="shared" si="1"/>
        <v>49</v>
      </c>
      <c r="F65" s="3">
        <f t="shared" si="6"/>
        <v>63.8</v>
      </c>
      <c r="G65" s="3" t="str">
        <f t="shared" si="3"/>
        <v>B+</v>
      </c>
      <c r="H65" s="3" t="str">
        <f t="shared" si="4"/>
        <v>P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>
        <v>65.0</v>
      </c>
      <c r="B66" s="3">
        <v>27.3</v>
      </c>
      <c r="C66" s="3">
        <v>84.8</v>
      </c>
      <c r="D66" s="3">
        <v>74.5</v>
      </c>
      <c r="E66" s="3">
        <f t="shared" si="1"/>
        <v>59</v>
      </c>
      <c r="F66" s="3">
        <f t="shared" si="6"/>
        <v>66.8</v>
      </c>
      <c r="G66" s="3" t="str">
        <f t="shared" si="3"/>
        <v>B+</v>
      </c>
      <c r="H66" s="3" t="str">
        <f t="shared" si="4"/>
        <v>P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>
        <v>66.0</v>
      </c>
      <c r="B67" s="3">
        <v>34.2</v>
      </c>
      <c r="C67" s="3">
        <v>33.1</v>
      </c>
      <c r="D67" s="3">
        <v>23.5</v>
      </c>
      <c r="E67" s="3">
        <f t="shared" si="1"/>
        <v>34</v>
      </c>
      <c r="F67" s="3">
        <f t="shared" si="6"/>
        <v>28.8</v>
      </c>
      <c r="G67" s="3" t="str">
        <f t="shared" si="3"/>
        <v>E</v>
      </c>
      <c r="H67" s="3" t="str">
        <f t="shared" si="4"/>
        <v>F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>
        <v>67.0</v>
      </c>
      <c r="B68" s="3">
        <v>17.2</v>
      </c>
      <c r="C68" s="3">
        <v>83.9</v>
      </c>
      <c r="D68" s="3">
        <v>43.2</v>
      </c>
      <c r="E68" s="3">
        <f t="shared" si="1"/>
        <v>54</v>
      </c>
      <c r="F68" s="3">
        <f t="shared" si="6"/>
        <v>48.6</v>
      </c>
      <c r="G68" s="3" t="str">
        <f t="shared" si="3"/>
        <v>C</v>
      </c>
      <c r="H68" s="3" t="str">
        <f t="shared" si="4"/>
        <v>P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>
        <v>68.0</v>
      </c>
      <c r="B69" s="3">
        <v>60.1</v>
      </c>
      <c r="C69" s="3">
        <v>66.6</v>
      </c>
      <c r="D69" s="3">
        <v>11.5</v>
      </c>
      <c r="E69" s="3">
        <f t="shared" si="1"/>
        <v>64</v>
      </c>
      <c r="F69" s="3">
        <f t="shared" si="6"/>
        <v>37.8</v>
      </c>
      <c r="G69" s="3" t="str">
        <f t="shared" si="3"/>
        <v>D</v>
      </c>
      <c r="H69" s="3" t="str">
        <f t="shared" si="4"/>
        <v>F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>
        <v>69.0</v>
      </c>
      <c r="B70" s="3">
        <v>46.4</v>
      </c>
      <c r="C70" s="3">
        <v>65.3</v>
      </c>
      <c r="D70" s="3">
        <v>51.5</v>
      </c>
      <c r="E70" s="3">
        <f t="shared" si="1"/>
        <v>57</v>
      </c>
      <c r="F70" s="3">
        <f t="shared" si="6"/>
        <v>54.3</v>
      </c>
      <c r="G70" s="3" t="str">
        <f t="shared" si="3"/>
        <v>B</v>
      </c>
      <c r="H70" s="3" t="str">
        <f t="shared" si="4"/>
        <v>P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>
        <v>70.0</v>
      </c>
      <c r="B71" s="3">
        <v>45.3</v>
      </c>
      <c r="C71" s="3">
        <v>73.2</v>
      </c>
      <c r="D71" s="3">
        <v>18.9</v>
      </c>
      <c r="E71" s="3">
        <f t="shared" si="1"/>
        <v>61</v>
      </c>
      <c r="F71" s="3">
        <f t="shared" si="6"/>
        <v>40</v>
      </c>
      <c r="G71" s="3" t="str">
        <f t="shared" si="3"/>
        <v>C</v>
      </c>
      <c r="H71" s="3" t="str">
        <f t="shared" si="4"/>
        <v>F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>
        <v>71.0</v>
      </c>
      <c r="B72" s="3">
        <v>57.6</v>
      </c>
      <c r="C72" s="3">
        <v>63.2</v>
      </c>
      <c r="D72" s="3">
        <v>59.4</v>
      </c>
      <c r="E72" s="3">
        <f t="shared" si="1"/>
        <v>61</v>
      </c>
      <c r="F72" s="3">
        <f t="shared" si="6"/>
        <v>60.2</v>
      </c>
      <c r="G72" s="3" t="str">
        <f t="shared" si="3"/>
        <v>B+</v>
      </c>
      <c r="H72" s="3" t="str">
        <f t="shared" si="4"/>
        <v>P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>
        <v>72.0</v>
      </c>
      <c r="B73" s="3">
        <v>68.0</v>
      </c>
      <c r="C73" s="3">
        <v>60.9</v>
      </c>
      <c r="D73" s="3">
        <v>47.8</v>
      </c>
      <c r="E73" s="3">
        <f t="shared" si="1"/>
        <v>64</v>
      </c>
      <c r="F73" s="3">
        <f t="shared" si="6"/>
        <v>55.9</v>
      </c>
      <c r="G73" s="3" t="str">
        <f t="shared" si="3"/>
        <v>B</v>
      </c>
      <c r="H73" s="3" t="str">
        <f t="shared" si="4"/>
        <v>P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>
        <v>73.0</v>
      </c>
      <c r="B74" s="3">
        <v>82.5</v>
      </c>
      <c r="C74" s="3">
        <v>55.8</v>
      </c>
      <c r="D74" s="3">
        <v>68.9</v>
      </c>
      <c r="E74" s="3">
        <f t="shared" si="1"/>
        <v>68</v>
      </c>
      <c r="F74" s="3">
        <f t="shared" si="6"/>
        <v>68.5</v>
      </c>
      <c r="G74" s="3" t="str">
        <f t="shared" si="3"/>
        <v>B+</v>
      </c>
      <c r="H74" s="3" t="str">
        <f t="shared" si="4"/>
        <v>P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>
        <v>74.0</v>
      </c>
      <c r="B75" s="3">
        <v>95.1</v>
      </c>
      <c r="C75" s="3">
        <v>18.6</v>
      </c>
      <c r="D75" s="3">
        <v>15.6</v>
      </c>
      <c r="E75" s="3">
        <f t="shared" si="1"/>
        <v>53</v>
      </c>
      <c r="F75" s="3">
        <f t="shared" si="6"/>
        <v>34.3</v>
      </c>
      <c r="G75" s="3" t="str">
        <f t="shared" si="3"/>
        <v>E</v>
      </c>
      <c r="H75" s="3" t="str">
        <f t="shared" si="4"/>
        <v>F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>
        <v>75.0</v>
      </c>
      <c r="B76" s="3">
        <v>64.0</v>
      </c>
      <c r="C76" s="3">
        <v>70.4</v>
      </c>
      <c r="D76" s="3">
        <v>77.3</v>
      </c>
      <c r="E76" s="3">
        <f t="shared" si="1"/>
        <v>68</v>
      </c>
      <c r="F76" s="3">
        <f t="shared" si="6"/>
        <v>72.7</v>
      </c>
      <c r="G76" s="3" t="str">
        <f t="shared" si="3"/>
        <v>A</v>
      </c>
      <c r="H76" s="3" t="str">
        <f t="shared" si="4"/>
        <v>P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>
        <v>76.0</v>
      </c>
      <c r="B77" s="3">
        <v>95.3</v>
      </c>
      <c r="C77" s="3">
        <v>76.9</v>
      </c>
      <c r="D77" s="3">
        <v>32.4</v>
      </c>
      <c r="E77" s="3">
        <f t="shared" si="1"/>
        <v>85</v>
      </c>
      <c r="F77" s="3">
        <f t="shared" si="6"/>
        <v>58.7</v>
      </c>
      <c r="G77" s="3" t="str">
        <f t="shared" si="3"/>
        <v>B</v>
      </c>
      <c r="H77" s="3" t="str">
        <f t="shared" si="4"/>
        <v>P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>
        <v>77.0</v>
      </c>
      <c r="B78" s="3">
        <v>80.5</v>
      </c>
      <c r="C78" s="3">
        <v>59.5</v>
      </c>
      <c r="D78" s="3">
        <v>78.3</v>
      </c>
      <c r="E78" s="3">
        <f t="shared" si="1"/>
        <v>69</v>
      </c>
      <c r="F78" s="3">
        <f t="shared" si="6"/>
        <v>73.7</v>
      </c>
      <c r="G78" s="3" t="str">
        <f t="shared" si="3"/>
        <v>A</v>
      </c>
      <c r="H78" s="3" t="str">
        <f t="shared" si="4"/>
        <v>P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>
        <v>78.0</v>
      </c>
      <c r="B79" s="3">
        <v>36.9</v>
      </c>
      <c r="C79" s="3">
        <v>32.1</v>
      </c>
      <c r="D79" s="3">
        <v>75.2</v>
      </c>
      <c r="E79" s="3">
        <f t="shared" si="1"/>
        <v>34</v>
      </c>
      <c r="F79" s="3">
        <f t="shared" si="6"/>
        <v>54.6</v>
      </c>
      <c r="G79" s="3" t="str">
        <f t="shared" si="3"/>
        <v>B</v>
      </c>
      <c r="H79" s="3" t="str">
        <f t="shared" si="4"/>
        <v>P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>
        <v>79.0</v>
      </c>
      <c r="B80" s="3">
        <v>79.7</v>
      </c>
      <c r="C80" s="3">
        <v>13.8</v>
      </c>
      <c r="D80" s="3">
        <v>96.5</v>
      </c>
      <c r="E80" s="3">
        <f t="shared" si="1"/>
        <v>43</v>
      </c>
      <c r="F80" s="3">
        <f t="shared" si="6"/>
        <v>69.8</v>
      </c>
      <c r="G80" s="3" t="str">
        <f t="shared" si="3"/>
        <v>B+</v>
      </c>
      <c r="H80" s="3" t="str">
        <f t="shared" si="4"/>
        <v>P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>
        <v>80.0</v>
      </c>
      <c r="B81" s="3">
        <v>69.1</v>
      </c>
      <c r="C81" s="3">
        <v>10.9</v>
      </c>
      <c r="D81" s="3">
        <v>91.0</v>
      </c>
      <c r="E81" s="3">
        <f t="shared" si="1"/>
        <v>37</v>
      </c>
      <c r="F81" s="3">
        <f t="shared" si="6"/>
        <v>64</v>
      </c>
      <c r="G81" s="3" t="str">
        <f t="shared" si="3"/>
        <v>B+</v>
      </c>
      <c r="H81" s="3" t="str">
        <f t="shared" si="4"/>
        <v>P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>
        <v>81.0</v>
      </c>
      <c r="B82" s="3">
        <v>23.2</v>
      </c>
      <c r="C82" s="3">
        <v>33.9</v>
      </c>
      <c r="D82" s="3">
        <v>74.8</v>
      </c>
      <c r="E82" s="3">
        <f t="shared" si="1"/>
        <v>29</v>
      </c>
      <c r="F82" s="3">
        <f t="shared" si="6"/>
        <v>51.9</v>
      </c>
      <c r="G82" s="3" t="str">
        <f t="shared" si="3"/>
        <v>B</v>
      </c>
      <c r="H82" s="3" t="str">
        <f t="shared" si="4"/>
        <v>P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>
        <v>82.0</v>
      </c>
      <c r="B83" s="3">
        <v>37.1</v>
      </c>
      <c r="C83" s="3">
        <v>39.5</v>
      </c>
      <c r="D83" s="3">
        <v>58.5</v>
      </c>
      <c r="E83" s="3">
        <f t="shared" si="1"/>
        <v>38</v>
      </c>
      <c r="F83" s="3">
        <f t="shared" si="6"/>
        <v>48.3</v>
      </c>
      <c r="G83" s="3" t="str">
        <f t="shared" si="3"/>
        <v>C</v>
      </c>
      <c r="H83" s="3" t="str">
        <f t="shared" si="4"/>
        <v>P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>
        <v>83.0</v>
      </c>
      <c r="B84" s="3">
        <v>98.1</v>
      </c>
      <c r="C84" s="3">
        <v>45.7</v>
      </c>
      <c r="D84" s="3">
        <v>29.9</v>
      </c>
      <c r="E84" s="3">
        <f t="shared" si="1"/>
        <v>69</v>
      </c>
      <c r="F84" s="3">
        <f t="shared" si="6"/>
        <v>49.5</v>
      </c>
      <c r="G84" s="3" t="str">
        <f t="shared" si="3"/>
        <v>C</v>
      </c>
      <c r="H84" s="3" t="str">
        <f t="shared" si="4"/>
        <v>P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>
        <v>84.0</v>
      </c>
      <c r="B85" s="3">
        <v>64.3</v>
      </c>
      <c r="C85" s="3">
        <v>32.9</v>
      </c>
      <c r="D85" s="3">
        <v>45.2</v>
      </c>
      <c r="E85" s="3">
        <f t="shared" si="1"/>
        <v>47</v>
      </c>
      <c r="F85" s="3">
        <f t="shared" si="6"/>
        <v>46.1</v>
      </c>
      <c r="G85" s="3" t="str">
        <f t="shared" si="3"/>
        <v>C</v>
      </c>
      <c r="H85" s="3" t="str">
        <f t="shared" si="4"/>
        <v>P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>
        <v>85.0</v>
      </c>
      <c r="B86" s="3">
        <v>30.1</v>
      </c>
      <c r="C86" s="3">
        <v>53.9</v>
      </c>
      <c r="D86" s="3">
        <v>45.4</v>
      </c>
      <c r="E86" s="3">
        <f t="shared" si="1"/>
        <v>43</v>
      </c>
      <c r="F86" s="3">
        <f t="shared" si="6"/>
        <v>44.2</v>
      </c>
      <c r="G86" s="3" t="str">
        <f t="shared" si="3"/>
        <v>C</v>
      </c>
      <c r="H86" s="3" t="str">
        <f t="shared" si="4"/>
        <v>F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>
        <v>86.0</v>
      </c>
      <c r="B87" s="3">
        <v>29.3</v>
      </c>
      <c r="C87" s="3">
        <v>39.6</v>
      </c>
      <c r="D87" s="3">
        <v>72.3</v>
      </c>
      <c r="E87" s="3">
        <f t="shared" si="1"/>
        <v>35</v>
      </c>
      <c r="F87" s="3">
        <f t="shared" si="6"/>
        <v>53.7</v>
      </c>
      <c r="G87" s="3" t="str">
        <f t="shared" si="3"/>
        <v>B</v>
      </c>
      <c r="H87" s="3" t="str">
        <f t="shared" si="4"/>
        <v>P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>
        <v>87.0</v>
      </c>
      <c r="B88" s="3">
        <v>54.2</v>
      </c>
      <c r="C88" s="3">
        <v>37.2</v>
      </c>
      <c r="D88" s="3">
        <v>18.0</v>
      </c>
      <c r="E88" s="3">
        <f t="shared" si="1"/>
        <v>45</v>
      </c>
      <c r="F88" s="3">
        <f t="shared" si="6"/>
        <v>31.5</v>
      </c>
      <c r="G88" s="3" t="str">
        <f t="shared" si="3"/>
        <v>E</v>
      </c>
      <c r="H88" s="3" t="str">
        <f t="shared" si="4"/>
        <v>F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>
        <v>88.0</v>
      </c>
      <c r="B89" s="3">
        <v>17.3</v>
      </c>
      <c r="C89" s="3">
        <v>11.6</v>
      </c>
      <c r="D89" s="3">
        <v>88.4</v>
      </c>
      <c r="E89" s="3">
        <f t="shared" si="1"/>
        <v>14</v>
      </c>
      <c r="F89" s="3">
        <f t="shared" si="6"/>
        <v>51.2</v>
      </c>
      <c r="G89" s="3" t="str">
        <f t="shared" si="3"/>
        <v>B</v>
      </c>
      <c r="H89" s="3" t="str">
        <f t="shared" si="4"/>
        <v>P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>
        <v>89.0</v>
      </c>
      <c r="B90" s="3">
        <v>17.0</v>
      </c>
      <c r="C90" s="3">
        <v>73.6</v>
      </c>
      <c r="D90" s="3">
        <v>51.6</v>
      </c>
      <c r="E90" s="3">
        <f t="shared" si="1"/>
        <v>48</v>
      </c>
      <c r="F90" s="3">
        <f t="shared" si="6"/>
        <v>49.8</v>
      </c>
      <c r="G90" s="3" t="str">
        <f t="shared" si="3"/>
        <v>C</v>
      </c>
      <c r="H90" s="3" t="str">
        <f t="shared" si="4"/>
        <v>P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>
        <v>90.0</v>
      </c>
      <c r="B91" s="3">
        <v>59.8</v>
      </c>
      <c r="C91" s="3">
        <v>77.5</v>
      </c>
      <c r="D91" s="3">
        <v>60.6</v>
      </c>
      <c r="E91" s="3">
        <f t="shared" si="1"/>
        <v>70</v>
      </c>
      <c r="F91" s="3">
        <f t="shared" si="6"/>
        <v>65.3</v>
      </c>
      <c r="G91" s="3" t="str">
        <f t="shared" si="3"/>
        <v>B+</v>
      </c>
      <c r="H91" s="3" t="str">
        <f t="shared" si="4"/>
        <v>P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>
        <v>91.0</v>
      </c>
      <c r="B92" s="3">
        <v>20.5</v>
      </c>
      <c r="C92" s="3">
        <v>11.5</v>
      </c>
      <c r="D92" s="3">
        <v>85.7</v>
      </c>
      <c r="E92" s="3">
        <f t="shared" si="1"/>
        <v>16</v>
      </c>
      <c r="F92" s="3">
        <f t="shared" si="6"/>
        <v>50.9</v>
      </c>
      <c r="G92" s="3" t="str">
        <f t="shared" si="3"/>
        <v>B</v>
      </c>
      <c r="H92" s="3" t="str">
        <f t="shared" si="4"/>
        <v>P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>
        <v>92.0</v>
      </c>
      <c r="B93" s="3">
        <v>86.9</v>
      </c>
      <c r="C93" s="3">
        <v>33.2</v>
      </c>
      <c r="D93" s="3">
        <v>34.1</v>
      </c>
      <c r="E93" s="3">
        <f t="shared" si="1"/>
        <v>57</v>
      </c>
      <c r="F93" s="3">
        <f t="shared" si="6"/>
        <v>45.6</v>
      </c>
      <c r="G93" s="3" t="str">
        <f t="shared" si="3"/>
        <v>C</v>
      </c>
      <c r="H93" s="3" t="str">
        <f t="shared" si="4"/>
        <v>P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>
        <v>93.0</v>
      </c>
      <c r="B94" s="3">
        <v>40.7</v>
      </c>
      <c r="C94" s="3">
        <v>17.4</v>
      </c>
      <c r="D94" s="3">
        <v>24.1</v>
      </c>
      <c r="E94" s="3">
        <f t="shared" si="1"/>
        <v>28</v>
      </c>
      <c r="F94" s="3">
        <f t="shared" si="6"/>
        <v>26.1</v>
      </c>
      <c r="G94" s="3" t="str">
        <f t="shared" si="3"/>
        <v>E</v>
      </c>
      <c r="H94" s="3" t="str">
        <f t="shared" si="4"/>
        <v>F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>
        <v>94.0</v>
      </c>
      <c r="B95" s="3">
        <v>26.3</v>
      </c>
      <c r="C95" s="3">
        <v>63.4</v>
      </c>
      <c r="D95" s="3">
        <v>69.2</v>
      </c>
      <c r="E95" s="3">
        <f t="shared" si="1"/>
        <v>47</v>
      </c>
      <c r="F95" s="3">
        <f t="shared" si="6"/>
        <v>58.1</v>
      </c>
      <c r="G95" s="3" t="str">
        <f t="shared" si="3"/>
        <v>B</v>
      </c>
      <c r="H95" s="3" t="str">
        <f t="shared" si="4"/>
        <v>P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>
        <v>95.0</v>
      </c>
      <c r="B96" s="3">
        <v>16.1</v>
      </c>
      <c r="C96" s="3">
        <v>29.1</v>
      </c>
      <c r="D96" s="3">
        <v>52.5</v>
      </c>
      <c r="E96" s="3">
        <f t="shared" si="1"/>
        <v>23</v>
      </c>
      <c r="F96" s="3">
        <f t="shared" si="6"/>
        <v>37.8</v>
      </c>
      <c r="G96" s="3" t="str">
        <f t="shared" si="3"/>
        <v>D</v>
      </c>
      <c r="H96" s="3" t="str">
        <f t="shared" si="4"/>
        <v>F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>
        <v>96.0</v>
      </c>
      <c r="B97" s="3">
        <v>82.8</v>
      </c>
      <c r="C97" s="3">
        <v>24.6</v>
      </c>
      <c r="D97" s="3">
        <v>72.5</v>
      </c>
      <c r="E97" s="3">
        <f t="shared" si="1"/>
        <v>51</v>
      </c>
      <c r="F97" s="3">
        <f t="shared" si="6"/>
        <v>61.8</v>
      </c>
      <c r="G97" s="3" t="str">
        <f t="shared" si="3"/>
        <v>B+</v>
      </c>
      <c r="H97" s="3" t="str">
        <f t="shared" si="4"/>
        <v>P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>
        <v>97.0</v>
      </c>
      <c r="B98" s="3">
        <v>14.4</v>
      </c>
      <c r="C98" s="3">
        <v>89.7</v>
      </c>
      <c r="D98" s="3">
        <v>23.1</v>
      </c>
      <c r="E98" s="3">
        <f t="shared" si="1"/>
        <v>56</v>
      </c>
      <c r="F98" s="3">
        <f t="shared" si="6"/>
        <v>39.6</v>
      </c>
      <c r="G98" s="3" t="str">
        <f t="shared" si="3"/>
        <v>D</v>
      </c>
      <c r="H98" s="3" t="str">
        <f t="shared" si="4"/>
        <v>F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>
        <v>98.0</v>
      </c>
      <c r="B99" s="3">
        <v>22.7</v>
      </c>
      <c r="C99" s="3">
        <v>31.7</v>
      </c>
      <c r="D99" s="3">
        <v>35.9</v>
      </c>
      <c r="E99" s="3">
        <f t="shared" si="1"/>
        <v>28</v>
      </c>
      <c r="F99" s="3">
        <f t="shared" si="6"/>
        <v>32</v>
      </c>
      <c r="G99" s="3" t="str">
        <f t="shared" si="3"/>
        <v>E</v>
      </c>
      <c r="H99" s="3" t="str">
        <f t="shared" si="4"/>
        <v>F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>
        <v>99.0</v>
      </c>
      <c r="B100" s="3">
        <v>94.1</v>
      </c>
      <c r="C100" s="3">
        <v>95.7</v>
      </c>
      <c r="D100" s="3">
        <v>75.3</v>
      </c>
      <c r="E100" s="3">
        <f t="shared" si="1"/>
        <v>95</v>
      </c>
      <c r="F100" s="3">
        <f t="shared" si="6"/>
        <v>85.2</v>
      </c>
      <c r="G100" s="3" t="str">
        <f t="shared" si="3"/>
        <v>A</v>
      </c>
      <c r="H100" s="3" t="str">
        <f t="shared" si="4"/>
        <v>P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>
        <v>100.0</v>
      </c>
      <c r="B101" s="3">
        <v>58.0</v>
      </c>
      <c r="C101" s="3">
        <v>81.3</v>
      </c>
      <c r="D101" s="3">
        <v>46.6</v>
      </c>
      <c r="E101" s="3">
        <f t="shared" si="1"/>
        <v>71</v>
      </c>
      <c r="F101" s="3">
        <f t="shared" si="6"/>
        <v>58.8</v>
      </c>
      <c r="G101" s="3" t="str">
        <f t="shared" si="3"/>
        <v>B</v>
      </c>
      <c r="H101" s="3" t="str">
        <f t="shared" si="4"/>
        <v>P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>
        <v>101.0</v>
      </c>
      <c r="B102" s="3">
        <v>32.0</v>
      </c>
      <c r="C102" s="3">
        <v>25.1</v>
      </c>
      <c r="D102" s="3">
        <v>44.6</v>
      </c>
      <c r="E102" s="3">
        <f t="shared" si="1"/>
        <v>28</v>
      </c>
      <c r="F102" s="3">
        <f t="shared" si="6"/>
        <v>36.3</v>
      </c>
      <c r="G102" s="3" t="str">
        <f t="shared" si="3"/>
        <v>D</v>
      </c>
      <c r="H102" s="3" t="str">
        <f t="shared" si="4"/>
        <v>F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>
        <v>102.0</v>
      </c>
      <c r="B103" s="3">
        <v>88.6</v>
      </c>
      <c r="C103" s="3">
        <v>63.1</v>
      </c>
      <c r="D103" s="3">
        <v>27.1</v>
      </c>
      <c r="E103" s="3">
        <f t="shared" si="1"/>
        <v>75</v>
      </c>
      <c r="F103" s="3">
        <f t="shared" si="6"/>
        <v>51.1</v>
      </c>
      <c r="G103" s="3" t="str">
        <f t="shared" si="3"/>
        <v>B</v>
      </c>
      <c r="H103" s="3" t="str">
        <f t="shared" si="4"/>
        <v>P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>
        <v>103.0</v>
      </c>
      <c r="B104" s="3">
        <v>64.1</v>
      </c>
      <c r="C104" s="3">
        <v>27.5</v>
      </c>
      <c r="D104" s="3">
        <v>11.9</v>
      </c>
      <c r="E104" s="3">
        <f t="shared" si="1"/>
        <v>44</v>
      </c>
      <c r="F104" s="3">
        <f t="shared" si="6"/>
        <v>28</v>
      </c>
      <c r="G104" s="3" t="str">
        <f t="shared" si="3"/>
        <v>E</v>
      </c>
      <c r="H104" s="3" t="str">
        <f t="shared" si="4"/>
        <v>F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>
        <v>104.0</v>
      </c>
      <c r="B105" s="3">
        <v>92.5</v>
      </c>
      <c r="C105" s="3">
        <v>56.8</v>
      </c>
      <c r="D105" s="3">
        <v>59.4</v>
      </c>
      <c r="E105" s="3">
        <f t="shared" si="1"/>
        <v>73</v>
      </c>
      <c r="F105" s="3">
        <f t="shared" si="6"/>
        <v>66.2</v>
      </c>
      <c r="G105" s="3" t="str">
        <f t="shared" si="3"/>
        <v>B+</v>
      </c>
      <c r="H105" s="3" t="str">
        <f t="shared" si="4"/>
        <v>P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>
        <v>105.0</v>
      </c>
      <c r="B106" s="3">
        <v>42.3</v>
      </c>
      <c r="C106" s="3">
        <v>33.4</v>
      </c>
      <c r="D106" s="3">
        <v>99.6</v>
      </c>
      <c r="E106" s="3">
        <f t="shared" si="1"/>
        <v>37</v>
      </c>
      <c r="F106" s="3">
        <f t="shared" si="6"/>
        <v>68.3</v>
      </c>
      <c r="G106" s="3" t="str">
        <f t="shared" si="3"/>
        <v>B+</v>
      </c>
      <c r="H106" s="3" t="str">
        <f t="shared" si="4"/>
        <v>P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>
        <v>106.0</v>
      </c>
      <c r="B107" s="3">
        <v>55.3</v>
      </c>
      <c r="C107" s="3">
        <v>10.3</v>
      </c>
      <c r="D107" s="3">
        <v>80.3</v>
      </c>
      <c r="E107" s="3">
        <f t="shared" si="1"/>
        <v>31</v>
      </c>
      <c r="F107" s="3">
        <f t="shared" si="6"/>
        <v>55.7</v>
      </c>
      <c r="G107" s="3" t="str">
        <f t="shared" si="3"/>
        <v>B</v>
      </c>
      <c r="H107" s="3" t="str">
        <f t="shared" si="4"/>
        <v>P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>
        <v>107.0</v>
      </c>
      <c r="B108" s="3">
        <v>87.5</v>
      </c>
      <c r="C108" s="3">
        <v>11.5</v>
      </c>
      <c r="D108" s="3">
        <v>90.5</v>
      </c>
      <c r="E108" s="3">
        <f t="shared" si="1"/>
        <v>46</v>
      </c>
      <c r="F108" s="3">
        <f t="shared" si="6"/>
        <v>68.3</v>
      </c>
      <c r="G108" s="3" t="str">
        <f t="shared" si="3"/>
        <v>B+</v>
      </c>
      <c r="H108" s="3" t="str">
        <f t="shared" si="4"/>
        <v>P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>
        <v>108.0</v>
      </c>
      <c r="B109" s="3">
        <v>68.4</v>
      </c>
      <c r="C109" s="3">
        <v>22.8</v>
      </c>
      <c r="D109" s="3">
        <v>78.8</v>
      </c>
      <c r="E109" s="3">
        <f t="shared" si="1"/>
        <v>43</v>
      </c>
      <c r="F109" s="3">
        <f t="shared" si="6"/>
        <v>60.9</v>
      </c>
      <c r="G109" s="3" t="str">
        <f t="shared" si="3"/>
        <v>B+</v>
      </c>
      <c r="H109" s="3" t="str">
        <f t="shared" si="4"/>
        <v>P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>
        <v>109.0</v>
      </c>
      <c r="B110" s="3">
        <v>20.8</v>
      </c>
      <c r="C110" s="3">
        <v>79.9</v>
      </c>
      <c r="D110" s="3">
        <v>35.4</v>
      </c>
      <c r="E110" s="3">
        <f t="shared" si="1"/>
        <v>53</v>
      </c>
      <c r="F110" s="3">
        <f t="shared" si="6"/>
        <v>44.2</v>
      </c>
      <c r="G110" s="3" t="str">
        <f t="shared" si="3"/>
        <v>C</v>
      </c>
      <c r="H110" s="3" t="str">
        <f t="shared" si="4"/>
        <v>F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>
        <v>110.0</v>
      </c>
      <c r="B111" s="3">
        <v>39.7</v>
      </c>
      <c r="C111" s="3">
        <v>61.3</v>
      </c>
      <c r="D111" s="3">
        <v>23.7</v>
      </c>
      <c r="E111" s="3">
        <f t="shared" si="1"/>
        <v>52</v>
      </c>
      <c r="F111" s="3">
        <f t="shared" si="6"/>
        <v>37.9</v>
      </c>
      <c r="G111" s="3" t="str">
        <f t="shared" si="3"/>
        <v>D</v>
      </c>
      <c r="H111" s="3" t="str">
        <f t="shared" si="4"/>
        <v>F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>
        <v>111.0</v>
      </c>
      <c r="B112" s="3">
        <v>41.3</v>
      </c>
      <c r="C112" s="3">
        <v>94.6</v>
      </c>
      <c r="D112" s="3">
        <v>59.8</v>
      </c>
      <c r="E112" s="3">
        <f t="shared" si="1"/>
        <v>71</v>
      </c>
      <c r="F112" s="3">
        <f t="shared" si="6"/>
        <v>65.4</v>
      </c>
      <c r="G112" s="3" t="str">
        <f t="shared" si="3"/>
        <v>B+</v>
      </c>
      <c r="H112" s="3" t="str">
        <f t="shared" si="4"/>
        <v>P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>
        <v>112.0</v>
      </c>
      <c r="B113" s="3">
        <v>18.2</v>
      </c>
      <c r="C113" s="3">
        <v>89.5</v>
      </c>
      <c r="D113" s="3">
        <v>86.5</v>
      </c>
      <c r="E113" s="3">
        <f t="shared" si="1"/>
        <v>57</v>
      </c>
      <c r="F113" s="3">
        <f t="shared" si="6"/>
        <v>71.8</v>
      </c>
      <c r="G113" s="3" t="str">
        <f t="shared" si="3"/>
        <v>A</v>
      </c>
      <c r="H113" s="3" t="str">
        <f t="shared" si="4"/>
        <v>P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>
        <v>113.0</v>
      </c>
      <c r="B114" s="3">
        <v>78.5</v>
      </c>
      <c r="C114" s="3">
        <v>82.2</v>
      </c>
      <c r="D114" s="3">
        <v>97.7</v>
      </c>
      <c r="E114" s="3">
        <f t="shared" si="1"/>
        <v>81</v>
      </c>
      <c r="F114" s="3">
        <f t="shared" si="6"/>
        <v>89.4</v>
      </c>
      <c r="G114" s="3" t="str">
        <f t="shared" si="3"/>
        <v>A</v>
      </c>
      <c r="H114" s="3" t="str">
        <f t="shared" si="4"/>
        <v>P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>
        <v>114.0</v>
      </c>
      <c r="B115" s="3">
        <v>34.2</v>
      </c>
      <c r="C115" s="3">
        <v>45.7</v>
      </c>
      <c r="D115" s="3">
        <v>77.0</v>
      </c>
      <c r="E115" s="3">
        <f t="shared" si="1"/>
        <v>41</v>
      </c>
      <c r="F115" s="3">
        <f t="shared" si="6"/>
        <v>59</v>
      </c>
      <c r="G115" s="3" t="str">
        <f t="shared" si="3"/>
        <v>B</v>
      </c>
      <c r="H115" s="3" t="str">
        <f t="shared" si="4"/>
        <v>P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>
        <v>115.0</v>
      </c>
      <c r="B116" s="3">
        <v>47.8</v>
      </c>
      <c r="C116" s="3">
        <v>58.4</v>
      </c>
      <c r="D116" s="3">
        <v>99.3</v>
      </c>
      <c r="E116" s="3">
        <f t="shared" si="1"/>
        <v>54</v>
      </c>
      <c r="F116" s="3">
        <f t="shared" si="6"/>
        <v>76.7</v>
      </c>
      <c r="G116" s="3" t="str">
        <f t="shared" si="3"/>
        <v>A</v>
      </c>
      <c r="H116" s="3" t="str">
        <f t="shared" si="4"/>
        <v>P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>
        <v>116.0</v>
      </c>
      <c r="B117" s="3">
        <v>52.0</v>
      </c>
      <c r="C117" s="3">
        <v>83.9</v>
      </c>
      <c r="D117" s="3">
        <v>68.6</v>
      </c>
      <c r="E117" s="3">
        <f t="shared" si="1"/>
        <v>70</v>
      </c>
      <c r="F117" s="3">
        <f t="shared" si="6"/>
        <v>69.3</v>
      </c>
      <c r="G117" s="3" t="str">
        <f t="shared" si="3"/>
        <v>B+</v>
      </c>
      <c r="H117" s="3" t="str">
        <f t="shared" si="4"/>
        <v>P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>
        <v>117.0</v>
      </c>
      <c r="B118" s="3">
        <v>35.2</v>
      </c>
      <c r="C118" s="3">
        <v>98.3</v>
      </c>
      <c r="D118" s="3">
        <v>22.0</v>
      </c>
      <c r="E118" s="3">
        <f t="shared" si="1"/>
        <v>70</v>
      </c>
      <c r="F118" s="3">
        <f t="shared" si="6"/>
        <v>46</v>
      </c>
      <c r="G118" s="3" t="str">
        <f t="shared" si="3"/>
        <v>C</v>
      </c>
      <c r="H118" s="3" t="str">
        <f t="shared" si="4"/>
        <v>P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>
        <v>118.0</v>
      </c>
      <c r="B119" s="3">
        <v>21.0</v>
      </c>
      <c r="C119" s="3">
        <v>34.0</v>
      </c>
      <c r="D119" s="3">
        <v>93.8</v>
      </c>
      <c r="E119" s="3">
        <f t="shared" si="1"/>
        <v>28</v>
      </c>
      <c r="F119" s="3">
        <f t="shared" si="6"/>
        <v>60.9</v>
      </c>
      <c r="G119" s="3" t="str">
        <f t="shared" si="3"/>
        <v>B+</v>
      </c>
      <c r="H119" s="3" t="str">
        <f t="shared" si="4"/>
        <v>P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>
        <v>119.0</v>
      </c>
      <c r="B120" s="3">
        <v>80.5</v>
      </c>
      <c r="C120" s="3">
        <v>71.6</v>
      </c>
      <c r="D120" s="3">
        <v>90.9</v>
      </c>
      <c r="E120" s="3">
        <f t="shared" si="1"/>
        <v>76</v>
      </c>
      <c r="F120" s="3">
        <f t="shared" si="6"/>
        <v>83.5</v>
      </c>
      <c r="G120" s="3" t="str">
        <f t="shared" si="3"/>
        <v>A</v>
      </c>
      <c r="H120" s="3" t="str">
        <f t="shared" si="4"/>
        <v>P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>
        <v>120.0</v>
      </c>
      <c r="B121" s="3">
        <v>15.0</v>
      </c>
      <c r="C121" s="3">
        <v>27.4</v>
      </c>
      <c r="D121" s="3">
        <v>75.6</v>
      </c>
      <c r="E121" s="3">
        <f t="shared" si="1"/>
        <v>22</v>
      </c>
      <c r="F121" s="3">
        <f t="shared" si="6"/>
        <v>48.8</v>
      </c>
      <c r="G121" s="3" t="str">
        <f t="shared" si="3"/>
        <v>C</v>
      </c>
      <c r="H121" s="3" t="str">
        <f t="shared" si="4"/>
        <v>P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>
        <v>121.0</v>
      </c>
      <c r="B122" s="3">
        <v>78.9</v>
      </c>
      <c r="C122" s="3">
        <v>42.4</v>
      </c>
      <c r="D122" s="3">
        <v>25.8</v>
      </c>
      <c r="E122" s="3">
        <f t="shared" si="1"/>
        <v>59</v>
      </c>
      <c r="F122" s="3">
        <f t="shared" si="6"/>
        <v>42.4</v>
      </c>
      <c r="G122" s="3" t="str">
        <f t="shared" si="3"/>
        <v>C</v>
      </c>
      <c r="H122" s="3" t="str">
        <f t="shared" si="4"/>
        <v>F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>
        <v>122.0</v>
      </c>
      <c r="B123" s="3">
        <v>94.0</v>
      </c>
      <c r="C123" s="3">
        <v>46.1</v>
      </c>
      <c r="D123" s="3">
        <v>48.3</v>
      </c>
      <c r="E123" s="3">
        <f t="shared" si="1"/>
        <v>68</v>
      </c>
      <c r="F123" s="3">
        <f t="shared" si="6"/>
        <v>58.2</v>
      </c>
      <c r="G123" s="3" t="str">
        <f t="shared" si="3"/>
        <v>B</v>
      </c>
      <c r="H123" s="3" t="str">
        <f t="shared" si="4"/>
        <v>P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>
        <v>123.0</v>
      </c>
      <c r="B124" s="3">
        <v>39.2</v>
      </c>
      <c r="C124" s="3">
        <v>45.4</v>
      </c>
      <c r="D124" s="3">
        <v>97.8</v>
      </c>
      <c r="E124" s="3">
        <f t="shared" si="1"/>
        <v>43</v>
      </c>
      <c r="F124" s="3">
        <f t="shared" si="6"/>
        <v>70.4</v>
      </c>
      <c r="G124" s="3" t="str">
        <f t="shared" si="3"/>
        <v>A</v>
      </c>
      <c r="H124" s="3" t="str">
        <f t="shared" si="4"/>
        <v>P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>
        <v>124.0</v>
      </c>
      <c r="B125" s="3">
        <v>43.8</v>
      </c>
      <c r="C125" s="3">
        <v>91.8</v>
      </c>
      <c r="D125" s="3">
        <v>99.8</v>
      </c>
      <c r="E125" s="3">
        <f t="shared" si="1"/>
        <v>70</v>
      </c>
      <c r="F125" s="3">
        <f t="shared" si="6"/>
        <v>84.9</v>
      </c>
      <c r="G125" s="3" t="str">
        <f t="shared" si="3"/>
        <v>A</v>
      </c>
      <c r="H125" s="3" t="str">
        <f t="shared" si="4"/>
        <v>P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>
        <v>125.0</v>
      </c>
      <c r="B126" s="3">
        <v>60.5</v>
      </c>
      <c r="C126" s="3">
        <v>91.8</v>
      </c>
      <c r="D126" s="3">
        <v>40.9</v>
      </c>
      <c r="E126" s="3">
        <f t="shared" si="1"/>
        <v>78</v>
      </c>
      <c r="F126" s="3">
        <f t="shared" si="6"/>
        <v>59.5</v>
      </c>
      <c r="G126" s="3" t="str">
        <f t="shared" si="3"/>
        <v>B</v>
      </c>
      <c r="H126" s="3" t="str">
        <f t="shared" si="4"/>
        <v>P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>
        <v>126.0</v>
      </c>
      <c r="B127" s="3">
        <v>56.0</v>
      </c>
      <c r="C127" s="3">
        <v>53.3</v>
      </c>
      <c r="D127" s="3">
        <v>27.6</v>
      </c>
      <c r="E127" s="3">
        <f t="shared" si="1"/>
        <v>55</v>
      </c>
      <c r="F127" s="3">
        <f t="shared" si="6"/>
        <v>41.3</v>
      </c>
      <c r="G127" s="3" t="str">
        <f t="shared" si="3"/>
        <v>C</v>
      </c>
      <c r="H127" s="3" t="str">
        <f t="shared" si="4"/>
        <v>F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>
        <v>127.0</v>
      </c>
      <c r="B128" s="3">
        <v>63.3</v>
      </c>
      <c r="C128" s="3">
        <v>16.2</v>
      </c>
      <c r="D128" s="3">
        <v>16.4</v>
      </c>
      <c r="E128" s="3">
        <f t="shared" si="1"/>
        <v>37</v>
      </c>
      <c r="F128" s="3">
        <f t="shared" si="6"/>
        <v>26.7</v>
      </c>
      <c r="G128" s="3" t="str">
        <f t="shared" si="3"/>
        <v>E</v>
      </c>
      <c r="H128" s="3" t="str">
        <f t="shared" si="4"/>
        <v>F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>
        <v>128.0</v>
      </c>
      <c r="B129" s="3">
        <v>32.5</v>
      </c>
      <c r="C129" s="3">
        <v>33.7</v>
      </c>
      <c r="D129" s="3">
        <v>78.4</v>
      </c>
      <c r="E129" s="3">
        <f t="shared" si="1"/>
        <v>33</v>
      </c>
      <c r="F129" s="3">
        <f t="shared" si="6"/>
        <v>55.7</v>
      </c>
      <c r="G129" s="3" t="str">
        <f t="shared" si="3"/>
        <v>B</v>
      </c>
      <c r="H129" s="3" t="str">
        <f t="shared" si="4"/>
        <v>P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>
        <v>129.0</v>
      </c>
      <c r="B130" s="3">
        <v>68.6</v>
      </c>
      <c r="C130" s="3">
        <v>26.0</v>
      </c>
      <c r="D130" s="3">
        <v>23.1</v>
      </c>
      <c r="E130" s="3">
        <f t="shared" si="1"/>
        <v>45</v>
      </c>
      <c r="F130" s="3">
        <f t="shared" si="6"/>
        <v>34.1</v>
      </c>
      <c r="G130" s="3" t="str">
        <f t="shared" si="3"/>
        <v>E</v>
      </c>
      <c r="H130" s="3" t="str">
        <f t="shared" si="4"/>
        <v>F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>
        <v>130.0</v>
      </c>
      <c r="B131" s="3">
        <v>49.3</v>
      </c>
      <c r="C131" s="3">
        <v>89.4</v>
      </c>
      <c r="D131" s="3">
        <v>12.2</v>
      </c>
      <c r="E131" s="3">
        <f t="shared" si="1"/>
        <v>71</v>
      </c>
      <c r="F131" s="3">
        <f t="shared" si="6"/>
        <v>41.6</v>
      </c>
      <c r="G131" s="3" t="str">
        <f t="shared" si="3"/>
        <v>C</v>
      </c>
      <c r="H131" s="3" t="str">
        <f t="shared" si="4"/>
        <v>F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>
        <v>131.0</v>
      </c>
      <c r="B132" s="3">
        <v>31.8</v>
      </c>
      <c r="C132" s="3">
        <v>47.3</v>
      </c>
      <c r="D132" s="3">
        <v>26.4</v>
      </c>
      <c r="E132" s="3">
        <f t="shared" si="1"/>
        <v>40</v>
      </c>
      <c r="F132" s="3">
        <f t="shared" si="6"/>
        <v>33.2</v>
      </c>
      <c r="G132" s="3" t="str">
        <f t="shared" si="3"/>
        <v>E</v>
      </c>
      <c r="H132" s="3" t="str">
        <f t="shared" si="4"/>
        <v>F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>
        <v>132.0</v>
      </c>
      <c r="B133" s="3">
        <v>64.8</v>
      </c>
      <c r="C133" s="3">
        <v>18.0</v>
      </c>
      <c r="D133" s="3">
        <v>91.9</v>
      </c>
      <c r="E133" s="3">
        <f t="shared" si="1"/>
        <v>39</v>
      </c>
      <c r="F133" s="3">
        <f t="shared" si="6"/>
        <v>65.5</v>
      </c>
      <c r="G133" s="3" t="str">
        <f t="shared" si="3"/>
        <v>B+</v>
      </c>
      <c r="H133" s="3" t="str">
        <f t="shared" si="4"/>
        <v>P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>
        <v>133.0</v>
      </c>
      <c r="B134" s="3">
        <v>29.2</v>
      </c>
      <c r="C134" s="3">
        <v>60.8</v>
      </c>
      <c r="D134" s="3">
        <v>77.7</v>
      </c>
      <c r="E134" s="3">
        <f t="shared" si="1"/>
        <v>47</v>
      </c>
      <c r="F134" s="3">
        <f t="shared" si="6"/>
        <v>62.4</v>
      </c>
      <c r="G134" s="3" t="str">
        <f t="shared" si="3"/>
        <v>B+</v>
      </c>
      <c r="H134" s="3" t="str">
        <f t="shared" si="4"/>
        <v>P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>
        <v>134.0</v>
      </c>
      <c r="B135" s="3">
        <v>29.0</v>
      </c>
      <c r="C135" s="3">
        <v>87.8</v>
      </c>
      <c r="D135" s="3">
        <v>31.3</v>
      </c>
      <c r="E135" s="3">
        <f t="shared" si="1"/>
        <v>61</v>
      </c>
      <c r="F135" s="3">
        <f t="shared" si="6"/>
        <v>46.2</v>
      </c>
      <c r="G135" s="3" t="str">
        <f t="shared" si="3"/>
        <v>C</v>
      </c>
      <c r="H135" s="3" t="str">
        <f t="shared" si="4"/>
        <v>P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>
        <v>135.0</v>
      </c>
      <c r="B136" s="3">
        <v>92.5</v>
      </c>
      <c r="C136" s="3">
        <v>20.5</v>
      </c>
      <c r="D136" s="3">
        <v>24.4</v>
      </c>
      <c r="E136" s="3">
        <f t="shared" si="1"/>
        <v>53</v>
      </c>
      <c r="F136" s="3">
        <f t="shared" si="6"/>
        <v>38.7</v>
      </c>
      <c r="G136" s="3" t="str">
        <f t="shared" si="3"/>
        <v>D</v>
      </c>
      <c r="H136" s="3" t="str">
        <f t="shared" si="4"/>
        <v>F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>
        <v>136.0</v>
      </c>
      <c r="B137" s="3">
        <v>28.9</v>
      </c>
      <c r="C137" s="3">
        <v>38.5</v>
      </c>
      <c r="D137" s="3">
        <v>13.1</v>
      </c>
      <c r="E137" s="3">
        <f t="shared" si="1"/>
        <v>34</v>
      </c>
      <c r="F137" s="3">
        <f t="shared" si="6"/>
        <v>23.6</v>
      </c>
      <c r="G137" s="3" t="str">
        <f t="shared" si="3"/>
        <v>E</v>
      </c>
      <c r="H137" s="3" t="str">
        <f t="shared" si="4"/>
        <v>F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>
        <v>137.0</v>
      </c>
      <c r="B138" s="3">
        <v>72.3</v>
      </c>
      <c r="C138" s="3">
        <v>63.3</v>
      </c>
      <c r="D138" s="3">
        <v>61.0</v>
      </c>
      <c r="E138" s="3">
        <f t="shared" si="1"/>
        <v>67</v>
      </c>
      <c r="F138" s="3">
        <f t="shared" si="6"/>
        <v>64</v>
      </c>
      <c r="G138" s="3" t="str">
        <f t="shared" si="3"/>
        <v>B+</v>
      </c>
      <c r="H138" s="3" t="str">
        <f t="shared" si="4"/>
        <v>P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>
        <v>138.0</v>
      </c>
      <c r="B139" s="3">
        <v>26.0</v>
      </c>
      <c r="C139" s="3">
        <v>50.6</v>
      </c>
      <c r="D139" s="3">
        <v>52.0</v>
      </c>
      <c r="E139" s="3">
        <f t="shared" si="1"/>
        <v>40</v>
      </c>
      <c r="F139" s="3">
        <f t="shared" si="6"/>
        <v>46</v>
      </c>
      <c r="G139" s="3" t="str">
        <f t="shared" si="3"/>
        <v>C</v>
      </c>
      <c r="H139" s="3" t="str">
        <f t="shared" si="4"/>
        <v>P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>
        <v>139.0</v>
      </c>
      <c r="B140" s="3">
        <v>91.9</v>
      </c>
      <c r="C140" s="3">
        <v>16.9</v>
      </c>
      <c r="D140" s="3">
        <v>52.2</v>
      </c>
      <c r="E140" s="3">
        <f t="shared" si="1"/>
        <v>51</v>
      </c>
      <c r="F140" s="3">
        <f t="shared" si="6"/>
        <v>51.6</v>
      </c>
      <c r="G140" s="3" t="str">
        <f t="shared" si="3"/>
        <v>B</v>
      </c>
      <c r="H140" s="3" t="str">
        <f t="shared" si="4"/>
        <v>P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>
        <v>140.0</v>
      </c>
      <c r="B141" s="3">
        <v>41.1</v>
      </c>
      <c r="C141" s="3">
        <v>68.7</v>
      </c>
      <c r="D141" s="3">
        <v>28.6</v>
      </c>
      <c r="E141" s="3">
        <f t="shared" si="1"/>
        <v>56</v>
      </c>
      <c r="F141" s="3">
        <f t="shared" si="6"/>
        <v>42.3</v>
      </c>
      <c r="G141" s="3" t="str">
        <f t="shared" si="3"/>
        <v>C</v>
      </c>
      <c r="H141" s="3" t="str">
        <f t="shared" si="4"/>
        <v>F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>
        <v>141.0</v>
      </c>
      <c r="B142" s="3">
        <v>54.8</v>
      </c>
      <c r="C142" s="3">
        <v>82.3</v>
      </c>
      <c r="D142" s="3">
        <v>41.6</v>
      </c>
      <c r="E142" s="3">
        <f t="shared" si="1"/>
        <v>70</v>
      </c>
      <c r="F142" s="3">
        <f t="shared" si="6"/>
        <v>55.8</v>
      </c>
      <c r="G142" s="3" t="str">
        <f t="shared" si="3"/>
        <v>B</v>
      </c>
      <c r="H142" s="3" t="str">
        <f t="shared" si="4"/>
        <v>P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>
        <v>142.0</v>
      </c>
      <c r="B143" s="3">
        <v>21.5</v>
      </c>
      <c r="C143" s="3">
        <v>79.1</v>
      </c>
      <c r="D143" s="3">
        <v>13.1</v>
      </c>
      <c r="E143" s="3">
        <f t="shared" si="1"/>
        <v>53</v>
      </c>
      <c r="F143" s="3">
        <f t="shared" si="6"/>
        <v>33.1</v>
      </c>
      <c r="G143" s="3" t="str">
        <f t="shared" si="3"/>
        <v>E</v>
      </c>
      <c r="H143" s="3" t="str">
        <f t="shared" si="4"/>
        <v>F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>
        <v>143.0</v>
      </c>
      <c r="B144" s="3">
        <v>86.7</v>
      </c>
      <c r="C144" s="3">
        <v>56.9</v>
      </c>
      <c r="D144" s="3">
        <v>66.8</v>
      </c>
      <c r="E144" s="3">
        <f t="shared" si="1"/>
        <v>70</v>
      </c>
      <c r="F144" s="3">
        <f t="shared" si="6"/>
        <v>68.4</v>
      </c>
      <c r="G144" s="3" t="str">
        <f t="shared" si="3"/>
        <v>B+</v>
      </c>
      <c r="H144" s="3" t="str">
        <f t="shared" si="4"/>
        <v>P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>
        <v>144.0</v>
      </c>
      <c r="B145" s="3">
        <v>62.2</v>
      </c>
      <c r="C145" s="3">
        <v>32.5</v>
      </c>
      <c r="D145" s="3">
        <v>36.1</v>
      </c>
      <c r="E145" s="3">
        <f t="shared" si="1"/>
        <v>46</v>
      </c>
      <c r="F145" s="3">
        <f t="shared" si="6"/>
        <v>41.1</v>
      </c>
      <c r="G145" s="3" t="str">
        <f t="shared" si="3"/>
        <v>C</v>
      </c>
      <c r="H145" s="3" t="str">
        <f t="shared" si="4"/>
        <v>F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>
        <v>145.0</v>
      </c>
      <c r="B146" s="3">
        <v>10.4</v>
      </c>
      <c r="C146" s="3">
        <v>55.7</v>
      </c>
      <c r="D146" s="3">
        <v>10.1</v>
      </c>
      <c r="E146" s="3">
        <f t="shared" si="1"/>
        <v>35</v>
      </c>
      <c r="F146" s="3">
        <f t="shared" si="6"/>
        <v>22.6</v>
      </c>
      <c r="G146" s="3" t="str">
        <f t="shared" si="3"/>
        <v>E</v>
      </c>
      <c r="H146" s="3" t="str">
        <f t="shared" si="4"/>
        <v>F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>
        <v>146.0</v>
      </c>
      <c r="B147" s="3">
        <v>93.4</v>
      </c>
      <c r="C147" s="3">
        <v>52.0</v>
      </c>
      <c r="D147" s="3">
        <v>98.6</v>
      </c>
      <c r="E147" s="3">
        <f t="shared" si="1"/>
        <v>71</v>
      </c>
      <c r="F147" s="3">
        <f t="shared" si="6"/>
        <v>84.8</v>
      </c>
      <c r="G147" s="3" t="str">
        <f t="shared" si="3"/>
        <v>A</v>
      </c>
      <c r="H147" s="3" t="str">
        <f t="shared" si="4"/>
        <v>P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>
        <v>147.0</v>
      </c>
      <c r="B148" s="3">
        <v>62.1</v>
      </c>
      <c r="C148" s="3">
        <v>87.7</v>
      </c>
      <c r="D148" s="3">
        <v>67.5</v>
      </c>
      <c r="E148" s="3">
        <f t="shared" si="1"/>
        <v>76</v>
      </c>
      <c r="F148" s="3">
        <f t="shared" si="6"/>
        <v>71.8</v>
      </c>
      <c r="G148" s="3" t="str">
        <f t="shared" si="3"/>
        <v>A</v>
      </c>
      <c r="H148" s="3" t="str">
        <f t="shared" si="4"/>
        <v>P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>
        <v>148.0</v>
      </c>
      <c r="B149" s="3">
        <v>11.5</v>
      </c>
      <c r="C149" s="3">
        <v>82.5</v>
      </c>
      <c r="D149" s="3">
        <v>74.6</v>
      </c>
      <c r="E149" s="3">
        <f t="shared" si="1"/>
        <v>51</v>
      </c>
      <c r="F149" s="3">
        <f t="shared" si="6"/>
        <v>62.8</v>
      </c>
      <c r="G149" s="3" t="str">
        <f t="shared" si="3"/>
        <v>B+</v>
      </c>
      <c r="H149" s="3" t="str">
        <f t="shared" si="4"/>
        <v>P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>
        <v>149.0</v>
      </c>
      <c r="B150" s="3">
        <v>92.9</v>
      </c>
      <c r="C150" s="3">
        <v>38.0</v>
      </c>
      <c r="D150" s="3">
        <v>19.6</v>
      </c>
      <c r="E150" s="3">
        <f t="shared" si="1"/>
        <v>63</v>
      </c>
      <c r="F150" s="3">
        <f t="shared" si="6"/>
        <v>41.3</v>
      </c>
      <c r="G150" s="3" t="str">
        <f t="shared" si="3"/>
        <v>C</v>
      </c>
      <c r="H150" s="3" t="str">
        <f t="shared" si="4"/>
        <v>F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>
        <v>150.0</v>
      </c>
      <c r="B151" s="3">
        <v>18.3</v>
      </c>
      <c r="C151" s="3">
        <v>87.1</v>
      </c>
      <c r="D151" s="3">
        <v>23.1</v>
      </c>
      <c r="E151" s="3">
        <f t="shared" si="1"/>
        <v>56</v>
      </c>
      <c r="F151" s="3">
        <f t="shared" si="6"/>
        <v>39.6</v>
      </c>
      <c r="G151" s="3" t="str">
        <f t="shared" si="3"/>
        <v>D</v>
      </c>
      <c r="H151" s="3" t="str">
        <f t="shared" si="4"/>
        <v>F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>
        <v>151.0</v>
      </c>
      <c r="B152" s="3">
        <v>18.2</v>
      </c>
      <c r="C152" s="3">
        <v>52.2</v>
      </c>
      <c r="D152" s="3">
        <v>17.9</v>
      </c>
      <c r="E152" s="3">
        <f t="shared" si="1"/>
        <v>37</v>
      </c>
      <c r="F152" s="3">
        <f t="shared" si="6"/>
        <v>27.5</v>
      </c>
      <c r="G152" s="3" t="str">
        <f t="shared" si="3"/>
        <v>E</v>
      </c>
      <c r="H152" s="3" t="str">
        <f t="shared" si="4"/>
        <v>F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>
        <v>152.0</v>
      </c>
      <c r="B153" s="3">
        <v>14.0</v>
      </c>
      <c r="C153" s="3">
        <v>65.5</v>
      </c>
      <c r="D153" s="3">
        <v>37.3</v>
      </c>
      <c r="E153" s="3">
        <f t="shared" si="1"/>
        <v>42</v>
      </c>
      <c r="F153" s="3">
        <f t="shared" si="6"/>
        <v>39.7</v>
      </c>
      <c r="G153" s="3" t="str">
        <f t="shared" si="3"/>
        <v>D</v>
      </c>
      <c r="H153" s="3" t="str">
        <f t="shared" si="4"/>
        <v>F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>
        <v>153.0</v>
      </c>
      <c r="B154" s="3">
        <v>31.5</v>
      </c>
      <c r="C154" s="3">
        <v>34.4</v>
      </c>
      <c r="D154" s="3">
        <v>96.8</v>
      </c>
      <c r="E154" s="3">
        <f t="shared" si="1"/>
        <v>33</v>
      </c>
      <c r="F154" s="3">
        <f t="shared" si="6"/>
        <v>64.9</v>
      </c>
      <c r="G154" s="3" t="str">
        <f t="shared" si="3"/>
        <v>B+</v>
      </c>
      <c r="H154" s="3" t="str">
        <f t="shared" si="4"/>
        <v>P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>
        <v>154.0</v>
      </c>
      <c r="B155" s="3">
        <v>66.2</v>
      </c>
      <c r="C155" s="3">
        <v>95.7</v>
      </c>
      <c r="D155" s="3">
        <v>81.9</v>
      </c>
      <c r="E155" s="3">
        <f t="shared" si="1"/>
        <v>82</v>
      </c>
      <c r="F155" s="3">
        <f t="shared" si="6"/>
        <v>82</v>
      </c>
      <c r="G155" s="3" t="str">
        <f t="shared" si="3"/>
        <v>A</v>
      </c>
      <c r="H155" s="3" t="str">
        <f t="shared" si="4"/>
        <v>P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>
        <v>155.0</v>
      </c>
      <c r="B156" s="3">
        <v>95.9</v>
      </c>
      <c r="C156" s="3">
        <v>13.6</v>
      </c>
      <c r="D156" s="3">
        <v>53.4</v>
      </c>
      <c r="E156" s="3">
        <f t="shared" si="1"/>
        <v>51</v>
      </c>
      <c r="F156" s="3">
        <f t="shared" si="6"/>
        <v>52.2</v>
      </c>
      <c r="G156" s="3" t="str">
        <f t="shared" si="3"/>
        <v>B</v>
      </c>
      <c r="H156" s="3" t="str">
        <f t="shared" si="4"/>
        <v>P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>
        <v>156.0</v>
      </c>
      <c r="B157" s="3">
        <v>98.7</v>
      </c>
      <c r="C157" s="3">
        <v>68.4</v>
      </c>
      <c r="D157" s="3">
        <v>83.3</v>
      </c>
      <c r="E157" s="3">
        <f t="shared" si="1"/>
        <v>82</v>
      </c>
      <c r="F157" s="3">
        <f t="shared" si="6"/>
        <v>82.7</v>
      </c>
      <c r="G157" s="3" t="str">
        <f t="shared" si="3"/>
        <v>A</v>
      </c>
      <c r="H157" s="3" t="str">
        <f t="shared" si="4"/>
        <v>P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>
        <v>157.0</v>
      </c>
      <c r="B158" s="3">
        <v>75.0</v>
      </c>
      <c r="C158" s="3">
        <v>42.5</v>
      </c>
      <c r="D158" s="3">
        <v>87.5</v>
      </c>
      <c r="E158" s="3">
        <f t="shared" si="1"/>
        <v>57</v>
      </c>
      <c r="F158" s="3">
        <f t="shared" si="6"/>
        <v>72.3</v>
      </c>
      <c r="G158" s="3" t="str">
        <f t="shared" si="3"/>
        <v>A</v>
      </c>
      <c r="H158" s="3" t="str">
        <f t="shared" si="4"/>
        <v>P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>
        <v>158.0</v>
      </c>
      <c r="B159" s="3">
        <v>46.2</v>
      </c>
      <c r="C159" s="3">
        <v>81.7</v>
      </c>
      <c r="D159" s="3">
        <v>97.8</v>
      </c>
      <c r="E159" s="3">
        <f t="shared" si="1"/>
        <v>66</v>
      </c>
      <c r="F159" s="3">
        <f t="shared" si="6"/>
        <v>81.9</v>
      </c>
      <c r="G159" s="3" t="str">
        <f t="shared" si="3"/>
        <v>A</v>
      </c>
      <c r="H159" s="3" t="str">
        <f t="shared" si="4"/>
        <v>P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>
        <v>159.0</v>
      </c>
      <c r="B160" s="3">
        <v>84.5</v>
      </c>
      <c r="C160" s="3">
        <v>42.7</v>
      </c>
      <c r="D160" s="3">
        <v>51.1</v>
      </c>
      <c r="E160" s="3">
        <f t="shared" si="1"/>
        <v>62</v>
      </c>
      <c r="F160" s="3">
        <f t="shared" si="6"/>
        <v>56.6</v>
      </c>
      <c r="G160" s="3" t="str">
        <f t="shared" si="3"/>
        <v>B</v>
      </c>
      <c r="H160" s="3" t="str">
        <f t="shared" si="4"/>
        <v>P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>
        <v>160.0</v>
      </c>
      <c r="B161" s="3">
        <v>40.2</v>
      </c>
      <c r="C161" s="3">
        <v>99.3</v>
      </c>
      <c r="D161" s="3">
        <v>53.9</v>
      </c>
      <c r="E161" s="3">
        <f t="shared" si="1"/>
        <v>73</v>
      </c>
      <c r="F161" s="3">
        <f t="shared" si="6"/>
        <v>63.5</v>
      </c>
      <c r="G161" s="3" t="str">
        <f t="shared" si="3"/>
        <v>B+</v>
      </c>
      <c r="H161" s="3" t="str">
        <f t="shared" si="4"/>
        <v>P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>
        <v>161.0</v>
      </c>
      <c r="B162" s="3">
        <v>86.0</v>
      </c>
      <c r="C162" s="3">
        <v>89.9</v>
      </c>
      <c r="D162" s="3">
        <v>24.2</v>
      </c>
      <c r="E162" s="3">
        <f t="shared" si="1"/>
        <v>88</v>
      </c>
      <c r="F162" s="3">
        <f t="shared" si="6"/>
        <v>56.1</v>
      </c>
      <c r="G162" s="3" t="str">
        <f t="shared" si="3"/>
        <v>B</v>
      </c>
      <c r="H162" s="3" t="str">
        <f t="shared" si="4"/>
        <v>P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>
        <v>162.0</v>
      </c>
      <c r="B163" s="3">
        <v>58.9</v>
      </c>
      <c r="C163" s="3">
        <v>22.0</v>
      </c>
      <c r="D163" s="3">
        <v>29.8</v>
      </c>
      <c r="E163" s="3">
        <f t="shared" si="1"/>
        <v>39</v>
      </c>
      <c r="F163" s="3">
        <f t="shared" si="6"/>
        <v>34.4</v>
      </c>
      <c r="G163" s="3" t="str">
        <f t="shared" si="3"/>
        <v>E</v>
      </c>
      <c r="H163" s="3" t="str">
        <f t="shared" si="4"/>
        <v>F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>
        <v>163.0</v>
      </c>
      <c r="B164" s="3">
        <v>88.8</v>
      </c>
      <c r="C164" s="3">
        <v>15.3</v>
      </c>
      <c r="D164" s="3">
        <v>61.6</v>
      </c>
      <c r="E164" s="3">
        <f t="shared" si="1"/>
        <v>48</v>
      </c>
      <c r="F164" s="3">
        <f t="shared" si="6"/>
        <v>54.8</v>
      </c>
      <c r="G164" s="3" t="str">
        <f t="shared" si="3"/>
        <v>B</v>
      </c>
      <c r="H164" s="3" t="str">
        <f t="shared" si="4"/>
        <v>P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>
        <v>164.0</v>
      </c>
      <c r="B165" s="3">
        <v>14.5</v>
      </c>
      <c r="C165" s="3">
        <v>53.2</v>
      </c>
      <c r="D165" s="3">
        <v>74.3</v>
      </c>
      <c r="E165" s="3">
        <f t="shared" si="1"/>
        <v>36</v>
      </c>
      <c r="F165" s="3">
        <f t="shared" si="6"/>
        <v>55.2</v>
      </c>
      <c r="G165" s="3" t="str">
        <f t="shared" si="3"/>
        <v>B</v>
      </c>
      <c r="H165" s="3" t="str">
        <f t="shared" si="4"/>
        <v>P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>
        <v>165.0</v>
      </c>
      <c r="B166" s="3">
        <v>14.3</v>
      </c>
      <c r="C166" s="3">
        <v>85.2</v>
      </c>
      <c r="D166" s="3">
        <v>11.5</v>
      </c>
      <c r="E166" s="3">
        <f t="shared" si="1"/>
        <v>53</v>
      </c>
      <c r="F166" s="3">
        <f t="shared" si="6"/>
        <v>32.3</v>
      </c>
      <c r="G166" s="3" t="str">
        <f t="shared" si="3"/>
        <v>E</v>
      </c>
      <c r="H166" s="3" t="str">
        <f t="shared" si="4"/>
        <v>F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>
        <v>166.0</v>
      </c>
      <c r="B167" s="3">
        <v>87.5</v>
      </c>
      <c r="C167" s="3">
        <v>68.8</v>
      </c>
      <c r="D167" s="3">
        <v>96.6</v>
      </c>
      <c r="E167" s="3">
        <f t="shared" si="1"/>
        <v>77</v>
      </c>
      <c r="F167" s="3">
        <f t="shared" si="6"/>
        <v>86.8</v>
      </c>
      <c r="G167" s="3" t="str">
        <f t="shared" si="3"/>
        <v>A</v>
      </c>
      <c r="H167" s="3" t="str">
        <f t="shared" si="4"/>
        <v>P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>
        <v>167.0</v>
      </c>
      <c r="B168" s="3">
        <v>33.0</v>
      </c>
      <c r="C168" s="3">
        <v>32.0</v>
      </c>
      <c r="D168" s="3">
        <v>53.0</v>
      </c>
      <c r="E168" s="3">
        <f t="shared" si="1"/>
        <v>32</v>
      </c>
      <c r="F168" s="3">
        <f t="shared" si="6"/>
        <v>42.5</v>
      </c>
      <c r="G168" s="3" t="str">
        <f t="shared" si="3"/>
        <v>C</v>
      </c>
      <c r="H168" s="3" t="str">
        <f t="shared" si="4"/>
        <v>F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>
        <v>168.0</v>
      </c>
      <c r="B169" s="3">
        <v>90.0</v>
      </c>
      <c r="C169" s="3">
        <v>33.7</v>
      </c>
      <c r="D169" s="3">
        <v>84.3</v>
      </c>
      <c r="E169" s="3">
        <f t="shared" si="1"/>
        <v>59</v>
      </c>
      <c r="F169" s="3">
        <f t="shared" si="6"/>
        <v>71.7</v>
      </c>
      <c r="G169" s="3" t="str">
        <f t="shared" si="3"/>
        <v>A</v>
      </c>
      <c r="H169" s="3" t="str">
        <f t="shared" si="4"/>
        <v>P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>
        <v>169.0</v>
      </c>
      <c r="B170" s="3">
        <v>29.2</v>
      </c>
      <c r="C170" s="3">
        <v>49.3</v>
      </c>
      <c r="D170" s="3">
        <v>62.0</v>
      </c>
      <c r="E170" s="3">
        <f t="shared" si="1"/>
        <v>40</v>
      </c>
      <c r="F170" s="3">
        <f t="shared" si="6"/>
        <v>51</v>
      </c>
      <c r="G170" s="3" t="str">
        <f t="shared" si="3"/>
        <v>B</v>
      </c>
      <c r="H170" s="3" t="str">
        <f t="shared" si="4"/>
        <v>P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>
        <v>170.0</v>
      </c>
      <c r="B171" s="3">
        <v>87.6</v>
      </c>
      <c r="C171" s="3">
        <v>67.9</v>
      </c>
      <c r="D171" s="3">
        <v>71.7</v>
      </c>
      <c r="E171" s="3">
        <f t="shared" si="1"/>
        <v>77</v>
      </c>
      <c r="F171" s="3">
        <f t="shared" si="6"/>
        <v>74.4</v>
      </c>
      <c r="G171" s="3" t="str">
        <f t="shared" si="3"/>
        <v>A</v>
      </c>
      <c r="H171" s="3" t="str">
        <f t="shared" si="4"/>
        <v>P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>
        <v>171.0</v>
      </c>
      <c r="B172" s="3">
        <v>69.3</v>
      </c>
      <c r="C172" s="3">
        <v>52.2</v>
      </c>
      <c r="D172" s="3">
        <v>80.2</v>
      </c>
      <c r="E172" s="3">
        <f t="shared" si="1"/>
        <v>60</v>
      </c>
      <c r="F172" s="3">
        <f t="shared" si="6"/>
        <v>70.1</v>
      </c>
      <c r="G172" s="3" t="str">
        <f t="shared" si="3"/>
        <v>A</v>
      </c>
      <c r="H172" s="3" t="str">
        <f t="shared" si="4"/>
        <v>P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>
        <v>172.0</v>
      </c>
      <c r="B173" s="3">
        <v>51.2</v>
      </c>
      <c r="C173" s="3">
        <v>92.2</v>
      </c>
      <c r="D173" s="3">
        <v>43.3</v>
      </c>
      <c r="E173" s="3">
        <f t="shared" si="1"/>
        <v>74</v>
      </c>
      <c r="F173" s="3">
        <f t="shared" si="6"/>
        <v>58.7</v>
      </c>
      <c r="G173" s="3" t="str">
        <f t="shared" si="3"/>
        <v>B</v>
      </c>
      <c r="H173" s="3" t="str">
        <f t="shared" si="4"/>
        <v>P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>
        <v>173.0</v>
      </c>
      <c r="B174" s="3">
        <v>58.9</v>
      </c>
      <c r="C174" s="3">
        <v>27.0</v>
      </c>
      <c r="D174" s="3">
        <v>84.1</v>
      </c>
      <c r="E174" s="3">
        <f t="shared" si="1"/>
        <v>41</v>
      </c>
      <c r="F174" s="3">
        <f t="shared" si="6"/>
        <v>62.6</v>
      </c>
      <c r="G174" s="3" t="str">
        <f t="shared" si="3"/>
        <v>B+</v>
      </c>
      <c r="H174" s="3" t="str">
        <f t="shared" si="4"/>
        <v>P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>
        <v>174.0</v>
      </c>
      <c r="B175" s="3">
        <v>73.7</v>
      </c>
      <c r="C175" s="3">
        <v>94.5</v>
      </c>
      <c r="D175" s="3">
        <v>61.4</v>
      </c>
      <c r="E175" s="3">
        <f t="shared" si="1"/>
        <v>85</v>
      </c>
      <c r="F175" s="3">
        <f t="shared" si="6"/>
        <v>73.2</v>
      </c>
      <c r="G175" s="3" t="str">
        <f t="shared" si="3"/>
        <v>A</v>
      </c>
      <c r="H175" s="3" t="str">
        <f t="shared" si="4"/>
        <v>P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>
        <v>175.0</v>
      </c>
      <c r="B176" s="3">
        <v>33.7</v>
      </c>
      <c r="C176" s="3">
        <v>53.5</v>
      </c>
      <c r="D176" s="3">
        <v>39.7</v>
      </c>
      <c r="E176" s="3">
        <f t="shared" si="1"/>
        <v>45</v>
      </c>
      <c r="F176" s="3">
        <f t="shared" si="6"/>
        <v>42.4</v>
      </c>
      <c r="G176" s="3" t="str">
        <f t="shared" si="3"/>
        <v>C</v>
      </c>
      <c r="H176" s="3" t="str">
        <f t="shared" si="4"/>
        <v>F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>
        <v>176.0</v>
      </c>
      <c r="B177" s="3">
        <v>44.4</v>
      </c>
      <c r="C177" s="3">
        <v>50.6</v>
      </c>
      <c r="D177" s="3">
        <v>55.8</v>
      </c>
      <c r="E177" s="3">
        <f t="shared" si="1"/>
        <v>48</v>
      </c>
      <c r="F177" s="3">
        <f t="shared" si="6"/>
        <v>51.9</v>
      </c>
      <c r="G177" s="3" t="str">
        <f t="shared" si="3"/>
        <v>B</v>
      </c>
      <c r="H177" s="3" t="str">
        <f t="shared" si="4"/>
        <v>P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>
        <v>177.0</v>
      </c>
      <c r="B178" s="3">
        <v>45.0</v>
      </c>
      <c r="C178" s="3">
        <v>42.3</v>
      </c>
      <c r="D178" s="3">
        <v>77.4</v>
      </c>
      <c r="E178" s="3">
        <f t="shared" si="1"/>
        <v>44</v>
      </c>
      <c r="F178" s="3">
        <f t="shared" si="6"/>
        <v>60.7</v>
      </c>
      <c r="G178" s="3" t="str">
        <f t="shared" si="3"/>
        <v>B+</v>
      </c>
      <c r="H178" s="3" t="str">
        <f t="shared" si="4"/>
        <v>P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>
        <v>178.0</v>
      </c>
      <c r="B179" s="3">
        <v>73.0</v>
      </c>
      <c r="C179" s="3">
        <v>21.0</v>
      </c>
      <c r="D179" s="3">
        <v>60.9</v>
      </c>
      <c r="E179" s="3">
        <f t="shared" si="1"/>
        <v>44</v>
      </c>
      <c r="F179" s="3">
        <f t="shared" si="6"/>
        <v>52.5</v>
      </c>
      <c r="G179" s="3" t="str">
        <f t="shared" si="3"/>
        <v>B</v>
      </c>
      <c r="H179" s="3" t="str">
        <f t="shared" si="4"/>
        <v>P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>
        <v>179.0</v>
      </c>
      <c r="B180" s="3">
        <v>29.5</v>
      </c>
      <c r="C180" s="3">
        <v>89.4</v>
      </c>
      <c r="D180" s="3">
        <v>94.4</v>
      </c>
      <c r="E180" s="3">
        <f t="shared" si="1"/>
        <v>62</v>
      </c>
      <c r="F180" s="3">
        <f t="shared" si="6"/>
        <v>78.2</v>
      </c>
      <c r="G180" s="3" t="str">
        <f t="shared" si="3"/>
        <v>A</v>
      </c>
      <c r="H180" s="3" t="str">
        <f t="shared" si="4"/>
        <v>P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>
        <v>180.0</v>
      </c>
      <c r="B181" s="3">
        <v>11.1</v>
      </c>
      <c r="C181" s="3">
        <v>12.1</v>
      </c>
      <c r="D181" s="3">
        <v>45.4</v>
      </c>
      <c r="E181" s="3">
        <f t="shared" si="1"/>
        <v>12</v>
      </c>
      <c r="F181" s="3">
        <f t="shared" si="6"/>
        <v>28.7</v>
      </c>
      <c r="G181" s="3" t="str">
        <f t="shared" si="3"/>
        <v>E</v>
      </c>
      <c r="H181" s="3" t="str">
        <f t="shared" si="4"/>
        <v>F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>
        <v>181.0</v>
      </c>
      <c r="B182" s="3">
        <v>10.2</v>
      </c>
      <c r="C182" s="3">
        <v>89.6</v>
      </c>
      <c r="D182" s="3">
        <v>74.5</v>
      </c>
      <c r="E182" s="3">
        <f t="shared" si="1"/>
        <v>54</v>
      </c>
      <c r="F182" s="3">
        <f t="shared" si="6"/>
        <v>64.3</v>
      </c>
      <c r="G182" s="3" t="str">
        <f t="shared" si="3"/>
        <v>B+</v>
      </c>
      <c r="H182" s="3" t="str">
        <f t="shared" si="4"/>
        <v>P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>
        <v>182.0</v>
      </c>
      <c r="B183" s="3">
        <v>39.4</v>
      </c>
      <c r="C183" s="3">
        <v>46.2</v>
      </c>
      <c r="D183" s="3">
        <v>68.6</v>
      </c>
      <c r="E183" s="3">
        <f t="shared" si="1"/>
        <v>43</v>
      </c>
      <c r="F183" s="3">
        <f t="shared" si="6"/>
        <v>55.8</v>
      </c>
      <c r="G183" s="3" t="str">
        <f t="shared" si="3"/>
        <v>B</v>
      </c>
      <c r="H183" s="3" t="str">
        <f t="shared" si="4"/>
        <v>P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>
        <v>183.0</v>
      </c>
      <c r="B184" s="3">
        <v>18.8</v>
      </c>
      <c r="C184" s="3">
        <v>30.4</v>
      </c>
      <c r="D184" s="3">
        <v>38.9</v>
      </c>
      <c r="E184" s="3">
        <f t="shared" si="1"/>
        <v>25</v>
      </c>
      <c r="F184" s="3">
        <f t="shared" si="6"/>
        <v>32</v>
      </c>
      <c r="G184" s="3" t="str">
        <f t="shared" si="3"/>
        <v>E</v>
      </c>
      <c r="H184" s="3" t="str">
        <f t="shared" si="4"/>
        <v>F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>
        <v>184.0</v>
      </c>
      <c r="B185" s="3">
        <v>32.7</v>
      </c>
      <c r="C185" s="3">
        <v>29.3</v>
      </c>
      <c r="D185" s="3">
        <v>32.9</v>
      </c>
      <c r="E185" s="3">
        <f t="shared" si="1"/>
        <v>31</v>
      </c>
      <c r="F185" s="3">
        <f t="shared" si="6"/>
        <v>32</v>
      </c>
      <c r="G185" s="3" t="str">
        <f t="shared" si="3"/>
        <v>E</v>
      </c>
      <c r="H185" s="3" t="str">
        <f t="shared" si="4"/>
        <v>F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>
        <v>185.0</v>
      </c>
      <c r="B186" s="3">
        <v>23.9</v>
      </c>
      <c r="C186" s="3">
        <v>63.5</v>
      </c>
      <c r="D186" s="3">
        <v>90.7</v>
      </c>
      <c r="E186" s="3">
        <f t="shared" si="1"/>
        <v>46</v>
      </c>
      <c r="F186" s="3">
        <f t="shared" si="6"/>
        <v>68.4</v>
      </c>
      <c r="G186" s="3" t="str">
        <f t="shared" si="3"/>
        <v>B+</v>
      </c>
      <c r="H186" s="3" t="str">
        <f t="shared" si="4"/>
        <v>P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>
        <v>186.0</v>
      </c>
      <c r="B187" s="3">
        <v>13.5</v>
      </c>
      <c r="C187" s="3">
        <v>60.4</v>
      </c>
      <c r="D187" s="3">
        <v>43.8</v>
      </c>
      <c r="E187" s="3">
        <f t="shared" si="1"/>
        <v>39</v>
      </c>
      <c r="F187" s="3">
        <f t="shared" si="6"/>
        <v>41.4</v>
      </c>
      <c r="G187" s="3" t="str">
        <f t="shared" si="3"/>
        <v>C</v>
      </c>
      <c r="H187" s="3" t="str">
        <f t="shared" si="4"/>
        <v>F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>
        <v>187.0</v>
      </c>
      <c r="B188" s="3">
        <v>19.2</v>
      </c>
      <c r="C188" s="3">
        <v>70.5</v>
      </c>
      <c r="D188" s="3">
        <v>97.2</v>
      </c>
      <c r="E188" s="3">
        <f t="shared" si="1"/>
        <v>47</v>
      </c>
      <c r="F188" s="3">
        <f t="shared" si="6"/>
        <v>72.1</v>
      </c>
      <c r="G188" s="3" t="str">
        <f t="shared" si="3"/>
        <v>A</v>
      </c>
      <c r="H188" s="3" t="str">
        <f t="shared" si="4"/>
        <v>P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>
        <v>188.0</v>
      </c>
      <c r="B189" s="3">
        <v>87.5</v>
      </c>
      <c r="C189" s="3">
        <v>36.6</v>
      </c>
      <c r="D189" s="3">
        <v>91.5</v>
      </c>
      <c r="E189" s="3">
        <f t="shared" si="1"/>
        <v>60</v>
      </c>
      <c r="F189" s="3">
        <f t="shared" si="6"/>
        <v>75.8</v>
      </c>
      <c r="G189" s="3" t="str">
        <f t="shared" si="3"/>
        <v>A</v>
      </c>
      <c r="H189" s="3" t="str">
        <f t="shared" si="4"/>
        <v>P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>
        <v>189.0</v>
      </c>
      <c r="B190" s="3">
        <v>80.5</v>
      </c>
      <c r="C190" s="3">
        <v>40.4</v>
      </c>
      <c r="D190" s="3">
        <v>41.0</v>
      </c>
      <c r="E190" s="3">
        <f t="shared" si="1"/>
        <v>58</v>
      </c>
      <c r="F190" s="3">
        <f t="shared" si="6"/>
        <v>49.5</v>
      </c>
      <c r="G190" s="3" t="str">
        <f t="shared" si="3"/>
        <v>C</v>
      </c>
      <c r="H190" s="3" t="str">
        <f t="shared" si="4"/>
        <v>P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>
        <v>190.0</v>
      </c>
      <c r="B191" s="3">
        <v>81.0</v>
      </c>
      <c r="C191" s="3">
        <v>72.2</v>
      </c>
      <c r="D191" s="3">
        <v>68.4</v>
      </c>
      <c r="E191" s="3">
        <f t="shared" si="1"/>
        <v>76</v>
      </c>
      <c r="F191" s="3">
        <f t="shared" si="6"/>
        <v>72.2</v>
      </c>
      <c r="G191" s="3" t="str">
        <f t="shared" si="3"/>
        <v>A</v>
      </c>
      <c r="H191" s="3" t="str">
        <f t="shared" si="4"/>
        <v>P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>
        <v>191.0</v>
      </c>
      <c r="B192" s="3">
        <v>24.3</v>
      </c>
      <c r="C192" s="3">
        <v>53.5</v>
      </c>
      <c r="D192" s="3">
        <v>79.1</v>
      </c>
      <c r="E192" s="3">
        <f t="shared" si="1"/>
        <v>40</v>
      </c>
      <c r="F192" s="3">
        <f t="shared" si="6"/>
        <v>59.6</v>
      </c>
      <c r="G192" s="3" t="str">
        <f t="shared" si="3"/>
        <v>B</v>
      </c>
      <c r="H192" s="3" t="str">
        <f t="shared" si="4"/>
        <v>P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>
        <v>192.0</v>
      </c>
      <c r="B193" s="3">
        <v>77.1</v>
      </c>
      <c r="C193" s="3">
        <v>49.8</v>
      </c>
      <c r="D193" s="3">
        <v>52.6</v>
      </c>
      <c r="E193" s="3">
        <f t="shared" si="1"/>
        <v>62</v>
      </c>
      <c r="F193" s="3">
        <f t="shared" si="6"/>
        <v>57.3</v>
      </c>
      <c r="G193" s="3" t="str">
        <f t="shared" si="3"/>
        <v>B</v>
      </c>
      <c r="H193" s="3" t="str">
        <f t="shared" si="4"/>
        <v>P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>
        <v>193.0</v>
      </c>
      <c r="B194" s="3">
        <v>15.4</v>
      </c>
      <c r="C194" s="3">
        <v>15.1</v>
      </c>
      <c r="D194" s="3">
        <v>56.0</v>
      </c>
      <c r="E194" s="3">
        <f t="shared" si="1"/>
        <v>15</v>
      </c>
      <c r="F194" s="3">
        <f t="shared" si="6"/>
        <v>35.5</v>
      </c>
      <c r="G194" s="3" t="str">
        <f t="shared" si="3"/>
        <v>D</v>
      </c>
      <c r="H194" s="3" t="str">
        <f t="shared" si="4"/>
        <v>F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>
        <v>194.0</v>
      </c>
      <c r="B195" s="3">
        <v>29.2</v>
      </c>
      <c r="C195" s="3">
        <v>91.8</v>
      </c>
      <c r="D195" s="3">
        <v>78.3</v>
      </c>
      <c r="E195" s="3">
        <f t="shared" si="1"/>
        <v>64</v>
      </c>
      <c r="F195" s="3">
        <f t="shared" si="6"/>
        <v>71.2</v>
      </c>
      <c r="G195" s="3" t="str">
        <f t="shared" si="3"/>
        <v>A</v>
      </c>
      <c r="H195" s="3" t="str">
        <f t="shared" si="4"/>
        <v>P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>
        <v>195.0</v>
      </c>
      <c r="B196" s="3">
        <v>60.8</v>
      </c>
      <c r="C196" s="3">
        <v>64.7</v>
      </c>
      <c r="D196" s="3">
        <v>22.8</v>
      </c>
      <c r="E196" s="3">
        <f t="shared" si="1"/>
        <v>63</v>
      </c>
      <c r="F196" s="3">
        <f t="shared" si="6"/>
        <v>42.9</v>
      </c>
      <c r="G196" s="3" t="str">
        <f t="shared" si="3"/>
        <v>C</v>
      </c>
      <c r="H196" s="3" t="str">
        <f t="shared" si="4"/>
        <v>F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>
        <v>196.0</v>
      </c>
      <c r="B197" s="3">
        <v>48.9</v>
      </c>
      <c r="C197" s="3">
        <v>73.7</v>
      </c>
      <c r="D197" s="3">
        <v>45.3</v>
      </c>
      <c r="E197" s="3">
        <f t="shared" si="1"/>
        <v>63</v>
      </c>
      <c r="F197" s="3">
        <f t="shared" si="6"/>
        <v>54.2</v>
      </c>
      <c r="G197" s="3" t="str">
        <f t="shared" si="3"/>
        <v>B</v>
      </c>
      <c r="H197" s="3" t="str">
        <f t="shared" si="4"/>
        <v>P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>
        <v>197.0</v>
      </c>
      <c r="B198" s="3">
        <v>77.8</v>
      </c>
      <c r="C198" s="3">
        <v>99.4</v>
      </c>
      <c r="D198" s="3">
        <v>95.7</v>
      </c>
      <c r="E198" s="3">
        <f t="shared" si="1"/>
        <v>90</v>
      </c>
      <c r="F198" s="3">
        <f t="shared" si="6"/>
        <v>92.9</v>
      </c>
      <c r="G198" s="3" t="str">
        <f t="shared" si="3"/>
        <v>A</v>
      </c>
      <c r="H198" s="3" t="str">
        <f t="shared" si="4"/>
        <v>P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>
        <v>198.0</v>
      </c>
      <c r="B199" s="3">
        <v>68.0</v>
      </c>
      <c r="C199" s="3">
        <v>71.0</v>
      </c>
      <c r="D199" s="3">
        <v>50.7</v>
      </c>
      <c r="E199" s="3">
        <f t="shared" si="1"/>
        <v>70</v>
      </c>
      <c r="F199" s="3">
        <f t="shared" si="6"/>
        <v>60.4</v>
      </c>
      <c r="G199" s="3" t="str">
        <f t="shared" si="3"/>
        <v>B+</v>
      </c>
      <c r="H199" s="3" t="str">
        <f t="shared" si="4"/>
        <v>P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>
        <v>199.0</v>
      </c>
      <c r="B200" s="3">
        <v>42.2</v>
      </c>
      <c r="C200" s="3">
        <v>56.3</v>
      </c>
      <c r="D200" s="3">
        <v>11.1</v>
      </c>
      <c r="E200" s="3">
        <f t="shared" si="1"/>
        <v>50</v>
      </c>
      <c r="F200" s="3">
        <f t="shared" si="6"/>
        <v>30.6</v>
      </c>
      <c r="G200" s="3" t="str">
        <f t="shared" si="3"/>
        <v>E</v>
      </c>
      <c r="H200" s="3" t="str">
        <f t="shared" si="4"/>
        <v>F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>
        <v>200.0</v>
      </c>
      <c r="B201" s="3">
        <v>99.0</v>
      </c>
      <c r="C201" s="3">
        <v>59.2</v>
      </c>
      <c r="D201" s="3">
        <v>60.6</v>
      </c>
      <c r="E201" s="3">
        <f t="shared" si="1"/>
        <v>77</v>
      </c>
      <c r="F201" s="3">
        <f t="shared" si="6"/>
        <v>68.8</v>
      </c>
      <c r="G201" s="3" t="str">
        <f t="shared" si="3"/>
        <v>B+</v>
      </c>
      <c r="H201" s="3" t="str">
        <f t="shared" si="4"/>
        <v>P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>
        <v>201.0</v>
      </c>
      <c r="B202" s="3">
        <v>85.6</v>
      </c>
      <c r="C202" s="3">
        <v>70.2</v>
      </c>
      <c r="D202" s="3">
        <v>26.5</v>
      </c>
      <c r="E202" s="3">
        <f t="shared" si="1"/>
        <v>77</v>
      </c>
      <c r="F202" s="3">
        <f t="shared" si="6"/>
        <v>51.8</v>
      </c>
      <c r="G202" s="3" t="str">
        <f t="shared" si="3"/>
        <v>B</v>
      </c>
      <c r="H202" s="3" t="str">
        <f t="shared" si="4"/>
        <v>P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>
        <v>202.0</v>
      </c>
      <c r="B203" s="3">
        <v>43.1</v>
      </c>
      <c r="C203" s="3">
        <v>47.1</v>
      </c>
      <c r="D203" s="3">
        <v>92.2</v>
      </c>
      <c r="E203" s="3">
        <f t="shared" si="1"/>
        <v>45</v>
      </c>
      <c r="F203" s="3">
        <f t="shared" si="6"/>
        <v>68.6</v>
      </c>
      <c r="G203" s="3" t="str">
        <f t="shared" si="3"/>
        <v>B+</v>
      </c>
      <c r="H203" s="3" t="str">
        <f t="shared" si="4"/>
        <v>P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>
        <v>203.0</v>
      </c>
      <c r="B204" s="3">
        <v>80.8</v>
      </c>
      <c r="C204" s="3">
        <v>48.6</v>
      </c>
      <c r="D204" s="3">
        <v>18.1</v>
      </c>
      <c r="E204" s="3">
        <f t="shared" si="1"/>
        <v>63</v>
      </c>
      <c r="F204" s="3">
        <f t="shared" si="6"/>
        <v>40.6</v>
      </c>
      <c r="G204" s="3" t="str">
        <f t="shared" si="3"/>
        <v>C</v>
      </c>
      <c r="H204" s="3" t="str">
        <f t="shared" si="4"/>
        <v>F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>
        <v>204.0</v>
      </c>
      <c r="B205" s="3">
        <v>55.1</v>
      </c>
      <c r="C205" s="3">
        <v>58.8</v>
      </c>
      <c r="D205" s="3">
        <v>53.7</v>
      </c>
      <c r="E205" s="3">
        <f t="shared" si="1"/>
        <v>57</v>
      </c>
      <c r="F205" s="3">
        <f t="shared" si="6"/>
        <v>55.4</v>
      </c>
      <c r="G205" s="3" t="str">
        <f t="shared" si="3"/>
        <v>B</v>
      </c>
      <c r="H205" s="3" t="str">
        <f t="shared" si="4"/>
        <v>P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>
        <v>205.0</v>
      </c>
      <c r="B206" s="3">
        <v>39.3</v>
      </c>
      <c r="C206" s="3">
        <v>42.8</v>
      </c>
      <c r="D206" s="3">
        <v>10.1</v>
      </c>
      <c r="E206" s="3">
        <f t="shared" si="1"/>
        <v>41</v>
      </c>
      <c r="F206" s="3">
        <f t="shared" si="6"/>
        <v>25.6</v>
      </c>
      <c r="G206" s="3" t="str">
        <f t="shared" si="3"/>
        <v>E</v>
      </c>
      <c r="H206" s="3" t="str">
        <f t="shared" si="4"/>
        <v>F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>
        <v>206.0</v>
      </c>
      <c r="B207" s="3">
        <v>67.1</v>
      </c>
      <c r="C207" s="3">
        <v>53.8</v>
      </c>
      <c r="D207" s="3">
        <v>95.9</v>
      </c>
      <c r="E207" s="3">
        <f t="shared" si="1"/>
        <v>60</v>
      </c>
      <c r="F207" s="3">
        <f t="shared" si="6"/>
        <v>78</v>
      </c>
      <c r="G207" s="3" t="str">
        <f t="shared" si="3"/>
        <v>A</v>
      </c>
      <c r="H207" s="3" t="str">
        <f t="shared" si="4"/>
        <v>P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>
        <v>207.0</v>
      </c>
      <c r="B208" s="3">
        <v>10.4</v>
      </c>
      <c r="C208" s="3">
        <v>98.1</v>
      </c>
      <c r="D208" s="3">
        <v>76.8</v>
      </c>
      <c r="E208" s="3">
        <f t="shared" si="1"/>
        <v>59</v>
      </c>
      <c r="F208" s="3">
        <f t="shared" si="6"/>
        <v>67.9</v>
      </c>
      <c r="G208" s="3" t="str">
        <f t="shared" si="3"/>
        <v>B+</v>
      </c>
      <c r="H208" s="3" t="str">
        <f t="shared" si="4"/>
        <v>P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>
        <v>208.0</v>
      </c>
      <c r="B209" s="3">
        <v>52.1</v>
      </c>
      <c r="C209" s="3">
        <v>97.5</v>
      </c>
      <c r="D209" s="3">
        <v>30.6</v>
      </c>
      <c r="E209" s="3">
        <f t="shared" si="1"/>
        <v>77</v>
      </c>
      <c r="F209" s="3">
        <f t="shared" si="6"/>
        <v>53.8</v>
      </c>
      <c r="G209" s="3" t="str">
        <f t="shared" si="3"/>
        <v>B</v>
      </c>
      <c r="H209" s="3" t="str">
        <f t="shared" si="4"/>
        <v>P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>
        <v>209.0</v>
      </c>
      <c r="B210" s="3">
        <v>77.8</v>
      </c>
      <c r="C210" s="3">
        <v>13.2</v>
      </c>
      <c r="D210" s="3">
        <v>61.8</v>
      </c>
      <c r="E210" s="3">
        <f t="shared" si="1"/>
        <v>42</v>
      </c>
      <c r="F210" s="3">
        <f t="shared" si="6"/>
        <v>51.9</v>
      </c>
      <c r="G210" s="3" t="str">
        <f t="shared" si="3"/>
        <v>B</v>
      </c>
      <c r="H210" s="3" t="str">
        <f t="shared" si="4"/>
        <v>P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>
        <v>210.0</v>
      </c>
      <c r="B211" s="3">
        <v>31.0</v>
      </c>
      <c r="C211" s="3">
        <v>96.2</v>
      </c>
      <c r="D211" s="3">
        <v>45.7</v>
      </c>
      <c r="E211" s="3">
        <f t="shared" si="1"/>
        <v>67</v>
      </c>
      <c r="F211" s="3">
        <f t="shared" si="6"/>
        <v>56.4</v>
      </c>
      <c r="G211" s="3" t="str">
        <f t="shared" si="3"/>
        <v>B</v>
      </c>
      <c r="H211" s="3" t="str">
        <f t="shared" si="4"/>
        <v>P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>
        <v>211.0</v>
      </c>
      <c r="B212" s="3">
        <v>72.2</v>
      </c>
      <c r="C212" s="3">
        <v>78.8</v>
      </c>
      <c r="D212" s="3">
        <v>77.7</v>
      </c>
      <c r="E212" s="3">
        <f t="shared" si="1"/>
        <v>76</v>
      </c>
      <c r="F212" s="3">
        <f t="shared" si="6"/>
        <v>76.9</v>
      </c>
      <c r="G212" s="3" t="str">
        <f t="shared" si="3"/>
        <v>A</v>
      </c>
      <c r="H212" s="3" t="str">
        <f t="shared" si="4"/>
        <v>P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>
        <v>212.0</v>
      </c>
      <c r="B213" s="3">
        <v>55.2</v>
      </c>
      <c r="C213" s="3">
        <v>77.8</v>
      </c>
      <c r="D213" s="3">
        <v>99.5</v>
      </c>
      <c r="E213" s="3">
        <f t="shared" si="1"/>
        <v>68</v>
      </c>
      <c r="F213" s="3">
        <f t="shared" si="6"/>
        <v>83.8</v>
      </c>
      <c r="G213" s="3" t="str">
        <f t="shared" si="3"/>
        <v>A</v>
      </c>
      <c r="H213" s="3" t="str">
        <f t="shared" si="4"/>
        <v>P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>
        <v>213.0</v>
      </c>
      <c r="B214" s="3">
        <v>59.8</v>
      </c>
      <c r="C214" s="3">
        <v>58.8</v>
      </c>
      <c r="D214" s="3">
        <v>57.0</v>
      </c>
      <c r="E214" s="3">
        <f t="shared" si="1"/>
        <v>59</v>
      </c>
      <c r="F214" s="3">
        <f t="shared" si="6"/>
        <v>58</v>
      </c>
      <c r="G214" s="3" t="str">
        <f t="shared" si="3"/>
        <v>B</v>
      </c>
      <c r="H214" s="3" t="str">
        <f t="shared" si="4"/>
        <v>P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>
        <v>214.0</v>
      </c>
      <c r="B215" s="3">
        <v>74.3</v>
      </c>
      <c r="C215" s="3">
        <v>67.5</v>
      </c>
      <c r="D215" s="3">
        <v>82.5</v>
      </c>
      <c r="E215" s="3">
        <f t="shared" si="1"/>
        <v>71</v>
      </c>
      <c r="F215" s="3">
        <f t="shared" si="6"/>
        <v>76.8</v>
      </c>
      <c r="G215" s="3" t="str">
        <f t="shared" si="3"/>
        <v>A</v>
      </c>
      <c r="H215" s="3" t="str">
        <f t="shared" si="4"/>
        <v>P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>
        <v>215.0</v>
      </c>
      <c r="B216" s="3">
        <v>42.6</v>
      </c>
      <c r="C216" s="3">
        <v>77.7</v>
      </c>
      <c r="D216" s="3">
        <v>45.9</v>
      </c>
      <c r="E216" s="3">
        <f t="shared" si="1"/>
        <v>62</v>
      </c>
      <c r="F216" s="3">
        <f t="shared" si="6"/>
        <v>54</v>
      </c>
      <c r="G216" s="3" t="str">
        <f t="shared" si="3"/>
        <v>B</v>
      </c>
      <c r="H216" s="3" t="str">
        <f t="shared" si="4"/>
        <v>P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>
        <v>216.0</v>
      </c>
      <c r="B217" s="3">
        <v>96.4</v>
      </c>
      <c r="C217" s="3">
        <v>85.8</v>
      </c>
      <c r="D217" s="3">
        <v>37.9</v>
      </c>
      <c r="E217" s="3">
        <f t="shared" si="1"/>
        <v>91</v>
      </c>
      <c r="F217" s="3">
        <f t="shared" si="6"/>
        <v>64.5</v>
      </c>
      <c r="G217" s="3" t="str">
        <f t="shared" si="3"/>
        <v>B+</v>
      </c>
      <c r="H217" s="3" t="str">
        <f t="shared" si="4"/>
        <v>P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>
        <v>217.0</v>
      </c>
      <c r="B218" s="3">
        <v>57.0</v>
      </c>
      <c r="C218" s="3">
        <v>66.8</v>
      </c>
      <c r="D218" s="3">
        <v>26.8</v>
      </c>
      <c r="E218" s="3">
        <f t="shared" si="1"/>
        <v>62</v>
      </c>
      <c r="F218" s="3">
        <f t="shared" si="6"/>
        <v>44.4</v>
      </c>
      <c r="G218" s="3" t="str">
        <f t="shared" si="3"/>
        <v>C</v>
      </c>
      <c r="H218" s="3" t="str">
        <f t="shared" si="4"/>
        <v>F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>
        <v>218.0</v>
      </c>
      <c r="B219" s="3">
        <v>87.7</v>
      </c>
      <c r="C219" s="3">
        <v>54.0</v>
      </c>
      <c r="D219" s="3">
        <v>37.0</v>
      </c>
      <c r="E219" s="3">
        <f t="shared" si="1"/>
        <v>69</v>
      </c>
      <c r="F219" s="3">
        <f t="shared" si="6"/>
        <v>53</v>
      </c>
      <c r="G219" s="3" t="str">
        <f t="shared" si="3"/>
        <v>B</v>
      </c>
      <c r="H219" s="3" t="str">
        <f t="shared" si="4"/>
        <v>P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>
        <v>219.0</v>
      </c>
      <c r="B220" s="3">
        <v>63.9</v>
      </c>
      <c r="C220" s="3">
        <v>80.0</v>
      </c>
      <c r="D220" s="3">
        <v>29.8</v>
      </c>
      <c r="E220" s="3">
        <f t="shared" si="1"/>
        <v>73</v>
      </c>
      <c r="F220" s="3">
        <f t="shared" si="6"/>
        <v>51.4</v>
      </c>
      <c r="G220" s="3" t="str">
        <f t="shared" si="3"/>
        <v>B</v>
      </c>
      <c r="H220" s="3" t="str">
        <f t="shared" si="4"/>
        <v>P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>
        <v>220.0</v>
      </c>
      <c r="B221" s="3">
        <v>17.3</v>
      </c>
      <c r="C221" s="3">
        <v>87.0</v>
      </c>
      <c r="D221" s="3">
        <v>31.8</v>
      </c>
      <c r="E221" s="3">
        <f t="shared" si="1"/>
        <v>56</v>
      </c>
      <c r="F221" s="3">
        <f t="shared" si="6"/>
        <v>43.9</v>
      </c>
      <c r="G221" s="3" t="str">
        <f t="shared" si="3"/>
        <v>C</v>
      </c>
      <c r="H221" s="3" t="str">
        <f t="shared" si="4"/>
        <v>F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>
        <v>221.0</v>
      </c>
      <c r="B222" s="3">
        <v>43.7</v>
      </c>
      <c r="C222" s="3">
        <v>71.5</v>
      </c>
      <c r="D222" s="3">
        <v>89.2</v>
      </c>
      <c r="E222" s="3">
        <f t="shared" si="1"/>
        <v>59</v>
      </c>
      <c r="F222" s="3">
        <f t="shared" si="6"/>
        <v>74.1</v>
      </c>
      <c r="G222" s="3" t="str">
        <f t="shared" si="3"/>
        <v>A</v>
      </c>
      <c r="H222" s="3" t="str">
        <f t="shared" si="4"/>
        <v>P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>
        <v>222.0</v>
      </c>
      <c r="B223" s="3">
        <v>30.4</v>
      </c>
      <c r="C223" s="3">
        <v>59.8</v>
      </c>
      <c r="D223" s="3">
        <v>16.7</v>
      </c>
      <c r="E223" s="3">
        <f t="shared" si="1"/>
        <v>47</v>
      </c>
      <c r="F223" s="3">
        <f t="shared" si="6"/>
        <v>31.9</v>
      </c>
      <c r="G223" s="3" t="str">
        <f t="shared" si="3"/>
        <v>E</v>
      </c>
      <c r="H223" s="3" t="str">
        <f t="shared" si="4"/>
        <v>F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>
        <v>223.0</v>
      </c>
      <c r="B224" s="3">
        <v>11.6</v>
      </c>
      <c r="C224" s="3">
        <v>93.3</v>
      </c>
      <c r="D224" s="3">
        <v>30.2</v>
      </c>
      <c r="E224" s="3">
        <f t="shared" si="1"/>
        <v>57</v>
      </c>
      <c r="F224" s="3">
        <f t="shared" si="6"/>
        <v>43.6</v>
      </c>
      <c r="G224" s="3" t="str">
        <f t="shared" si="3"/>
        <v>C</v>
      </c>
      <c r="H224" s="3" t="str">
        <f t="shared" si="4"/>
        <v>F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>
        <v>224.0</v>
      </c>
      <c r="B225" s="3">
        <v>38.3</v>
      </c>
      <c r="C225" s="3">
        <v>85.6</v>
      </c>
      <c r="D225" s="3">
        <v>55.1</v>
      </c>
      <c r="E225" s="3">
        <f t="shared" si="1"/>
        <v>64</v>
      </c>
      <c r="F225" s="3">
        <f t="shared" si="6"/>
        <v>59.6</v>
      </c>
      <c r="G225" s="3" t="str">
        <f t="shared" si="3"/>
        <v>B</v>
      </c>
      <c r="H225" s="3" t="str">
        <f t="shared" si="4"/>
        <v>P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>
        <v>225.0</v>
      </c>
      <c r="B226" s="3">
        <v>86.6</v>
      </c>
      <c r="C226" s="3">
        <v>89.3</v>
      </c>
      <c r="D226" s="3">
        <v>25.4</v>
      </c>
      <c r="E226" s="3">
        <f t="shared" si="1"/>
        <v>88</v>
      </c>
      <c r="F226" s="3">
        <f t="shared" si="6"/>
        <v>56.7</v>
      </c>
      <c r="G226" s="3" t="str">
        <f t="shared" si="3"/>
        <v>B</v>
      </c>
      <c r="H226" s="3" t="str">
        <f t="shared" si="4"/>
        <v>P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>
        <v>226.0</v>
      </c>
      <c r="B227" s="3">
        <v>89.5</v>
      </c>
      <c r="C227" s="3">
        <v>35.3</v>
      </c>
      <c r="D227" s="3">
        <v>42.3</v>
      </c>
      <c r="E227" s="3">
        <f t="shared" si="1"/>
        <v>60</v>
      </c>
      <c r="F227" s="3">
        <f t="shared" si="6"/>
        <v>51.2</v>
      </c>
      <c r="G227" s="3" t="str">
        <f t="shared" si="3"/>
        <v>B</v>
      </c>
      <c r="H227" s="3" t="str">
        <f t="shared" si="4"/>
        <v>P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>
        <v>227.0</v>
      </c>
      <c r="B228" s="3">
        <v>25.8</v>
      </c>
      <c r="C228" s="3">
        <v>46.8</v>
      </c>
      <c r="D228" s="3">
        <v>26.0</v>
      </c>
      <c r="E228" s="3">
        <f t="shared" si="1"/>
        <v>37</v>
      </c>
      <c r="F228" s="3">
        <f t="shared" si="6"/>
        <v>31.5</v>
      </c>
      <c r="G228" s="3" t="str">
        <f t="shared" si="3"/>
        <v>E</v>
      </c>
      <c r="H228" s="3" t="str">
        <f t="shared" si="4"/>
        <v>F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>
        <v>228.0</v>
      </c>
      <c r="B229" s="3">
        <v>18.2</v>
      </c>
      <c r="C229" s="3">
        <v>43.4</v>
      </c>
      <c r="D229" s="3">
        <v>81.6</v>
      </c>
      <c r="E229" s="3">
        <f t="shared" si="1"/>
        <v>32</v>
      </c>
      <c r="F229" s="3">
        <f t="shared" si="6"/>
        <v>56.8</v>
      </c>
      <c r="G229" s="3" t="str">
        <f t="shared" si="3"/>
        <v>B</v>
      </c>
      <c r="H229" s="3" t="str">
        <f t="shared" si="4"/>
        <v>P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>
        <v>229.0</v>
      </c>
      <c r="B230" s="3">
        <v>86.9</v>
      </c>
      <c r="C230" s="3">
        <v>97.6</v>
      </c>
      <c r="D230" s="3">
        <v>90.9</v>
      </c>
      <c r="E230" s="3">
        <f t="shared" si="1"/>
        <v>93</v>
      </c>
      <c r="F230" s="3">
        <f t="shared" si="6"/>
        <v>92</v>
      </c>
      <c r="G230" s="3" t="str">
        <f t="shared" si="3"/>
        <v>A</v>
      </c>
      <c r="H230" s="3" t="str">
        <f t="shared" si="4"/>
        <v>P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>
        <v>230.0</v>
      </c>
      <c r="B231" s="3">
        <v>10.8</v>
      </c>
      <c r="C231" s="3">
        <v>95.7</v>
      </c>
      <c r="D231" s="3">
        <v>63.1</v>
      </c>
      <c r="E231" s="3">
        <f t="shared" si="1"/>
        <v>57</v>
      </c>
      <c r="F231" s="3">
        <f t="shared" si="6"/>
        <v>60.1</v>
      </c>
      <c r="G231" s="3" t="str">
        <f t="shared" si="3"/>
        <v>B+</v>
      </c>
      <c r="H231" s="3" t="str">
        <f t="shared" si="4"/>
        <v>P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>
        <v>231.0</v>
      </c>
      <c r="B232" s="3">
        <v>91.8</v>
      </c>
      <c r="C232" s="3">
        <v>92.0</v>
      </c>
      <c r="D232" s="3">
        <v>10.7</v>
      </c>
      <c r="E232" s="3">
        <f t="shared" si="1"/>
        <v>92</v>
      </c>
      <c r="F232" s="3">
        <f t="shared" si="6"/>
        <v>51.4</v>
      </c>
      <c r="G232" s="3" t="str">
        <f t="shared" si="3"/>
        <v>B</v>
      </c>
      <c r="H232" s="3" t="str">
        <f t="shared" si="4"/>
        <v>P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>
        <v>232.0</v>
      </c>
      <c r="B233" s="3">
        <v>42.1</v>
      </c>
      <c r="C233" s="3">
        <v>65.8</v>
      </c>
      <c r="D233" s="3">
        <v>20.4</v>
      </c>
      <c r="E233" s="3">
        <f t="shared" si="1"/>
        <v>55</v>
      </c>
      <c r="F233" s="3">
        <f t="shared" si="6"/>
        <v>37.7</v>
      </c>
      <c r="G233" s="3" t="str">
        <f t="shared" si="3"/>
        <v>D</v>
      </c>
      <c r="H233" s="3" t="str">
        <f t="shared" si="4"/>
        <v>F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>
        <v>233.0</v>
      </c>
      <c r="B234" s="3">
        <v>55.7</v>
      </c>
      <c r="C234" s="3">
        <v>51.5</v>
      </c>
      <c r="D234" s="3">
        <v>11.7</v>
      </c>
      <c r="E234" s="3">
        <f t="shared" si="1"/>
        <v>53</v>
      </c>
      <c r="F234" s="3">
        <f t="shared" si="6"/>
        <v>32.4</v>
      </c>
      <c r="G234" s="3" t="str">
        <f t="shared" si="3"/>
        <v>E</v>
      </c>
      <c r="H234" s="3" t="str">
        <f t="shared" si="4"/>
        <v>F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>
        <v>234.0</v>
      </c>
      <c r="B235" s="3">
        <v>80.4</v>
      </c>
      <c r="C235" s="3">
        <v>49.9</v>
      </c>
      <c r="D235" s="3">
        <v>82.5</v>
      </c>
      <c r="E235" s="3">
        <f t="shared" si="1"/>
        <v>64</v>
      </c>
      <c r="F235" s="3">
        <f t="shared" si="6"/>
        <v>73.3</v>
      </c>
      <c r="G235" s="3" t="str">
        <f t="shared" si="3"/>
        <v>A</v>
      </c>
      <c r="H235" s="3" t="str">
        <f t="shared" si="4"/>
        <v>P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>
        <v>235.0</v>
      </c>
      <c r="B236" s="3">
        <v>46.9</v>
      </c>
      <c r="C236" s="3">
        <v>86.2</v>
      </c>
      <c r="D236" s="3">
        <v>75.6</v>
      </c>
      <c r="E236" s="3">
        <f t="shared" si="1"/>
        <v>69</v>
      </c>
      <c r="F236" s="3">
        <f t="shared" si="6"/>
        <v>72.3</v>
      </c>
      <c r="G236" s="3" t="str">
        <f t="shared" si="3"/>
        <v>A</v>
      </c>
      <c r="H236" s="3" t="str">
        <f t="shared" si="4"/>
        <v>P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>
        <v>236.0</v>
      </c>
      <c r="B237" s="3">
        <v>70.0</v>
      </c>
      <c r="C237" s="3">
        <v>69.8</v>
      </c>
      <c r="D237" s="3">
        <v>92.9</v>
      </c>
      <c r="E237" s="3">
        <f t="shared" si="1"/>
        <v>70</v>
      </c>
      <c r="F237" s="3">
        <f t="shared" si="6"/>
        <v>81.5</v>
      </c>
      <c r="G237" s="3" t="str">
        <f t="shared" si="3"/>
        <v>A</v>
      </c>
      <c r="H237" s="3" t="str">
        <f t="shared" si="4"/>
        <v>P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>
        <v>237.0</v>
      </c>
      <c r="B238" s="3">
        <v>70.3</v>
      </c>
      <c r="C238" s="3">
        <v>18.7</v>
      </c>
      <c r="D238" s="3">
        <v>29.4</v>
      </c>
      <c r="E238" s="3">
        <f t="shared" si="1"/>
        <v>42</v>
      </c>
      <c r="F238" s="3">
        <f t="shared" si="6"/>
        <v>35.7</v>
      </c>
      <c r="G238" s="3" t="str">
        <f t="shared" si="3"/>
        <v>D</v>
      </c>
      <c r="H238" s="3" t="str">
        <f t="shared" si="4"/>
        <v>F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>
        <v>238.0</v>
      </c>
      <c r="B239" s="3">
        <v>16.3</v>
      </c>
      <c r="C239" s="3">
        <v>69.2</v>
      </c>
      <c r="D239" s="3">
        <v>33.2</v>
      </c>
      <c r="E239" s="3">
        <f t="shared" si="1"/>
        <v>45</v>
      </c>
      <c r="F239" s="3">
        <f t="shared" si="6"/>
        <v>39.1</v>
      </c>
      <c r="G239" s="3" t="str">
        <f t="shared" si="3"/>
        <v>D</v>
      </c>
      <c r="H239" s="3" t="str">
        <f t="shared" si="4"/>
        <v>F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>
        <v>239.0</v>
      </c>
      <c r="B240" s="3">
        <v>91.6</v>
      </c>
      <c r="C240" s="3">
        <v>39.9</v>
      </c>
      <c r="D240" s="3">
        <v>47.9</v>
      </c>
      <c r="E240" s="3">
        <f t="shared" si="1"/>
        <v>63</v>
      </c>
      <c r="F240" s="3">
        <f t="shared" si="6"/>
        <v>55.5</v>
      </c>
      <c r="G240" s="3" t="str">
        <f t="shared" si="3"/>
        <v>B</v>
      </c>
      <c r="H240" s="3" t="str">
        <f t="shared" si="4"/>
        <v>P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>
        <v>240.0</v>
      </c>
      <c r="B241" s="3">
        <v>18.8</v>
      </c>
      <c r="C241" s="3">
        <v>40.0</v>
      </c>
      <c r="D241" s="3">
        <v>22.5</v>
      </c>
      <c r="E241" s="3">
        <f t="shared" si="1"/>
        <v>30</v>
      </c>
      <c r="F241" s="3">
        <f t="shared" si="6"/>
        <v>26.3</v>
      </c>
      <c r="G241" s="3" t="str">
        <f t="shared" si="3"/>
        <v>E</v>
      </c>
      <c r="H241" s="3" t="str">
        <f t="shared" si="4"/>
        <v>F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>
        <v>241.0</v>
      </c>
      <c r="B242" s="3">
        <v>82.4</v>
      </c>
      <c r="C242" s="3">
        <v>80.1</v>
      </c>
      <c r="D242" s="3">
        <v>16.9</v>
      </c>
      <c r="E242" s="3">
        <f t="shared" si="1"/>
        <v>81</v>
      </c>
      <c r="F242" s="3">
        <f t="shared" si="6"/>
        <v>49</v>
      </c>
      <c r="G242" s="3" t="str">
        <f t="shared" si="3"/>
        <v>C</v>
      </c>
      <c r="H242" s="3" t="str">
        <f t="shared" si="4"/>
        <v>P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>
        <v>242.0</v>
      </c>
      <c r="B243" s="3">
        <v>89.3</v>
      </c>
      <c r="C243" s="3">
        <v>25.4</v>
      </c>
      <c r="D243" s="3">
        <v>44.1</v>
      </c>
      <c r="E243" s="3">
        <f t="shared" si="1"/>
        <v>54</v>
      </c>
      <c r="F243" s="3">
        <f t="shared" si="6"/>
        <v>49.1</v>
      </c>
      <c r="G243" s="3" t="str">
        <f t="shared" si="3"/>
        <v>C</v>
      </c>
      <c r="H243" s="3" t="str">
        <f t="shared" si="4"/>
        <v>P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>
        <v>243.0</v>
      </c>
      <c r="B244" s="3">
        <v>43.2</v>
      </c>
      <c r="C244" s="3">
        <v>45.6</v>
      </c>
      <c r="D244" s="3">
        <v>90.7</v>
      </c>
      <c r="E244" s="3">
        <f t="shared" si="1"/>
        <v>45</v>
      </c>
      <c r="F244" s="3">
        <f t="shared" si="6"/>
        <v>67.9</v>
      </c>
      <c r="G244" s="3" t="str">
        <f t="shared" si="3"/>
        <v>B+</v>
      </c>
      <c r="H244" s="3" t="str">
        <f t="shared" si="4"/>
        <v>P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>
        <v>244.0</v>
      </c>
      <c r="B245" s="3">
        <v>70.0</v>
      </c>
      <c r="C245" s="3">
        <v>87.6</v>
      </c>
      <c r="D245" s="3">
        <v>70.0</v>
      </c>
      <c r="E245" s="3">
        <f t="shared" si="1"/>
        <v>80</v>
      </c>
      <c r="F245" s="3">
        <f t="shared" si="6"/>
        <v>75</v>
      </c>
      <c r="G245" s="3" t="str">
        <f t="shared" si="3"/>
        <v>A</v>
      </c>
      <c r="H245" s="3" t="str">
        <f t="shared" si="4"/>
        <v>P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>
        <v>245.0</v>
      </c>
      <c r="B246" s="3">
        <v>77.0</v>
      </c>
      <c r="C246" s="3">
        <v>16.1</v>
      </c>
      <c r="D246" s="3">
        <v>68.9</v>
      </c>
      <c r="E246" s="3">
        <f t="shared" si="1"/>
        <v>44</v>
      </c>
      <c r="F246" s="3">
        <f t="shared" si="6"/>
        <v>56.5</v>
      </c>
      <c r="G246" s="3" t="str">
        <f t="shared" si="3"/>
        <v>B</v>
      </c>
      <c r="H246" s="3" t="str">
        <f t="shared" si="4"/>
        <v>P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>
        <v>246.0</v>
      </c>
      <c r="B247" s="3">
        <v>25.5</v>
      </c>
      <c r="C247" s="3">
        <v>48.4</v>
      </c>
      <c r="D247" s="3">
        <v>44.3</v>
      </c>
      <c r="E247" s="3">
        <f t="shared" si="1"/>
        <v>38</v>
      </c>
      <c r="F247" s="3">
        <f t="shared" si="6"/>
        <v>41.2</v>
      </c>
      <c r="G247" s="3" t="str">
        <f t="shared" si="3"/>
        <v>C</v>
      </c>
      <c r="H247" s="3" t="str">
        <f t="shared" si="4"/>
        <v>F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>
        <v>247.0</v>
      </c>
      <c r="B248" s="3">
        <v>73.0</v>
      </c>
      <c r="C248" s="3">
        <v>31.0</v>
      </c>
      <c r="D248" s="3">
        <v>88.7</v>
      </c>
      <c r="E248" s="3">
        <f t="shared" si="1"/>
        <v>50</v>
      </c>
      <c r="F248" s="3">
        <f t="shared" si="6"/>
        <v>69.4</v>
      </c>
      <c r="G248" s="3" t="str">
        <f t="shared" si="3"/>
        <v>B+</v>
      </c>
      <c r="H248" s="3" t="str">
        <f t="shared" si="4"/>
        <v>P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>
        <v>248.0</v>
      </c>
      <c r="B249" s="3">
        <v>79.1</v>
      </c>
      <c r="C249" s="3">
        <v>65.3</v>
      </c>
      <c r="D249" s="3">
        <v>98.4</v>
      </c>
      <c r="E249" s="3">
        <f t="shared" si="1"/>
        <v>72</v>
      </c>
      <c r="F249" s="3">
        <f t="shared" si="6"/>
        <v>85.2</v>
      </c>
      <c r="G249" s="3" t="str">
        <f t="shared" si="3"/>
        <v>A</v>
      </c>
      <c r="H249" s="3" t="str">
        <f t="shared" si="4"/>
        <v>P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>
        <v>249.0</v>
      </c>
      <c r="B250" s="3">
        <v>50.6</v>
      </c>
      <c r="C250" s="3">
        <v>65.7</v>
      </c>
      <c r="D250" s="3">
        <v>87.0</v>
      </c>
      <c r="E250" s="3">
        <f t="shared" si="1"/>
        <v>59</v>
      </c>
      <c r="F250" s="3">
        <f t="shared" si="6"/>
        <v>73</v>
      </c>
      <c r="G250" s="3" t="str">
        <f t="shared" si="3"/>
        <v>A</v>
      </c>
      <c r="H250" s="3" t="str">
        <f t="shared" si="4"/>
        <v>P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>
        <v>250.0</v>
      </c>
      <c r="B251" s="3">
        <v>41.6</v>
      </c>
      <c r="C251" s="3">
        <v>68.5</v>
      </c>
      <c r="D251" s="3">
        <v>94.2</v>
      </c>
      <c r="E251" s="3">
        <f t="shared" si="1"/>
        <v>56</v>
      </c>
      <c r="F251" s="3">
        <f t="shared" si="6"/>
        <v>75.1</v>
      </c>
      <c r="G251" s="3" t="str">
        <f t="shared" si="3"/>
        <v>A</v>
      </c>
      <c r="H251" s="3" t="str">
        <f t="shared" si="4"/>
        <v>P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4" t="s">
        <v>8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5"/>
      <c r="C255" s="6"/>
      <c r="D255" s="7" t="s">
        <v>1</v>
      </c>
      <c r="E255" s="7" t="s">
        <v>2</v>
      </c>
      <c r="F255" s="7" t="s">
        <v>4</v>
      </c>
      <c r="G255" s="7" t="s">
        <v>3</v>
      </c>
      <c r="H255" s="7" t="s">
        <v>5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3" t="s">
        <v>9</v>
      </c>
      <c r="C256" s="3"/>
      <c r="D256" s="8">
        <f t="shared" ref="D256:E256" si="7">MIN(B2:B251)</f>
        <v>10.2</v>
      </c>
      <c r="E256" s="8">
        <f t="shared" si="7"/>
        <v>10.3</v>
      </c>
      <c r="F256" s="8">
        <f>MIN(E2:E251)</f>
        <v>12</v>
      </c>
      <c r="G256" s="8">
        <f>MIN(D2:D251)</f>
        <v>10.1</v>
      </c>
      <c r="H256" s="8">
        <f>MIN(F2:F251)</f>
        <v>18.8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3" t="s">
        <v>10</v>
      </c>
      <c r="C257" s="3"/>
      <c r="D257" s="8">
        <f t="shared" ref="D257:E257" si="8">MAX(B2:B251)</f>
        <v>99.8</v>
      </c>
      <c r="E257" s="8">
        <f t="shared" si="8"/>
        <v>99.4</v>
      </c>
      <c r="F257" s="8">
        <f>MAX(E2:E251)</f>
        <v>95</v>
      </c>
      <c r="G257" s="8">
        <f>MAX(D2:D251)</f>
        <v>100</v>
      </c>
      <c r="H257" s="8">
        <f>MAX(F2:F251)</f>
        <v>92.9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9" t="s">
        <v>11</v>
      </c>
      <c r="C258" s="6"/>
      <c r="D258" s="8">
        <f>AVERAGE(B2:B251)</f>
        <v>54.1336</v>
      </c>
      <c r="E258" s="8">
        <f>AVERAGE(C2:D251)</f>
        <v>55.6038</v>
      </c>
      <c r="F258" s="8">
        <f>AVERAGE(E2:E251)</f>
        <v>54.608</v>
      </c>
      <c r="G258" s="8">
        <f>AVERAGE(D2:D251)</f>
        <v>56.2512</v>
      </c>
      <c r="H258" s="8">
        <f>AVERAGE(F2:F251)</f>
        <v>55.4544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10" t="s">
        <v>12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3" t="s">
        <v>13</v>
      </c>
      <c r="C261" s="3"/>
      <c r="D261" s="3"/>
      <c r="E261" s="7">
        <f>COUNTIF(H2:H251, "P")</f>
        <v>179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3" t="s">
        <v>14</v>
      </c>
      <c r="C262" s="3"/>
      <c r="D262" s="3"/>
      <c r="E262" s="7">
        <f>COUNTIF(H2:H251, "F")</f>
        <v>71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4" t="s">
        <v>15</v>
      </c>
      <c r="C264" s="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3" t="s">
        <v>6</v>
      </c>
      <c r="C265" s="7" t="s">
        <v>16</v>
      </c>
      <c r="D265" s="7" t="s">
        <v>17</v>
      </c>
      <c r="E265" s="7" t="s">
        <v>18</v>
      </c>
      <c r="F265" s="7" t="s">
        <v>19</v>
      </c>
      <c r="G265" s="7" t="s">
        <v>20</v>
      </c>
      <c r="H265" s="7" t="s">
        <v>21</v>
      </c>
      <c r="I265" s="11"/>
      <c r="J265" s="11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3" t="s">
        <v>22</v>
      </c>
      <c r="C266" s="7">
        <f>COUNTIF(G2:G251, "A")</f>
        <v>49</v>
      </c>
      <c r="D266" s="7">
        <f>COUNTIF(G2:G251, "B+")</f>
        <v>50</v>
      </c>
      <c r="E266" s="7">
        <f>COUNTIF(G2:G251, "B")</f>
        <v>60</v>
      </c>
      <c r="F266" s="7">
        <f>COUNTIF(G2:G251, "C")</f>
        <v>44</v>
      </c>
      <c r="G266" s="7">
        <f>COUNTIF(G2:G251, "D")</f>
        <v>17</v>
      </c>
      <c r="H266" s="7">
        <f>COUNTIF(G2:G251, "E")</f>
        <v>30</v>
      </c>
      <c r="I266" s="11"/>
      <c r="J266" s="11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">
    <mergeCell ref="B255:C255"/>
    <mergeCell ref="B258:C25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2018-12-08T12:18:26Z</dcterms:created>
  <dc:creator>Windows User</dc:creator>
</cp:coreProperties>
</file>