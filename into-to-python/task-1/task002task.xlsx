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sscores" sheetId="1" r:id="rId4"/>
    <sheet state="visible" name="sorted_FM. Sort sorted_FM in de" sheetId="2" r:id="rId5"/>
  </sheets>
  <definedNames/>
  <calcPr/>
  <extLst>
    <ext uri="GoogleSheetsCustomDataVersion2">
      <go:sheetsCustomData xmlns:go="http://customooxmlschemas.google.com/" r:id="rId6" roundtripDataChecksum="ZNr+LTNzKWuf1yG6XjK/ZLXzXQ5Dm7W34NZ5Hyv5byQ="/>
    </ext>
  </extLst>
</workbook>
</file>

<file path=xl/sharedStrings.xml><?xml version="1.0" encoding="utf-8"?>
<sst xmlns="http://schemas.openxmlformats.org/spreadsheetml/2006/main" count="58" uniqueCount="23">
  <si>
    <t>SN</t>
  </si>
  <si>
    <t>Test1</t>
  </si>
  <si>
    <t>Test2</t>
  </si>
  <si>
    <t>UE</t>
  </si>
  <si>
    <t>CA</t>
  </si>
  <si>
    <t>FM</t>
  </si>
  <si>
    <t>Grade</t>
  </si>
  <si>
    <t>Remark</t>
  </si>
  <si>
    <t>Answers to questions</t>
  </si>
  <si>
    <t>Minimum</t>
  </si>
  <si>
    <t>Maximum</t>
  </si>
  <si>
    <t>Average</t>
  </si>
  <si>
    <t>Pass and Fail</t>
  </si>
  <si>
    <t>Students passed are:</t>
  </si>
  <si>
    <t>Students failed are:</t>
  </si>
  <si>
    <t>Grades summary</t>
  </si>
  <si>
    <t>A</t>
  </si>
  <si>
    <t>B+</t>
  </si>
  <si>
    <t>B</t>
  </si>
  <si>
    <t>C</t>
  </si>
  <si>
    <t>D</t>
  </si>
  <si>
    <t>E</t>
  </si>
  <si>
    <t>No. Stds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</si>
</sst>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4">
        <f t="shared" ref="E2:F2" si="1">(B2*0.45 + C2*0.55)</f>
        <v>41.195</v>
      </c>
      <c r="F2" s="4">
        <f t="shared" si="1"/>
        <v>56.825</v>
      </c>
      <c r="G2" s="3" t="str">
        <f t="shared" ref="G2:G251" si="3">IFS(
  F2&gt;=70, "A",
  F2&gt;=60, "B+",
  F2&gt;=50, "B",
  F2&gt;=40, "C",
  F2&gt;=35, "D",
  F2&lt;35, "E"
)</f>
        <v>B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4">
        <f t="shared" ref="E3:F3" si="2">(B3*0.45 + C3*0.55)</f>
        <v>45.935</v>
      </c>
      <c r="F3" s="4">
        <f t="shared" si="2"/>
        <v>68.32</v>
      </c>
      <c r="G3" s="3" t="str">
        <f t="shared" si="3"/>
        <v>B+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4">
        <f t="shared" ref="E4:F4" si="5">(B4*0.45 + C4*0.55)</f>
        <v>62.78</v>
      </c>
      <c r="F4" s="4">
        <f t="shared" si="5"/>
        <v>64.11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4">
        <f t="shared" ref="E5:F5" si="6">(B5*0.45 + C5*0.55)</f>
        <v>23.045</v>
      </c>
      <c r="F5" s="4">
        <f t="shared" si="6"/>
        <v>28.915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4">
        <f t="shared" ref="E6:F6" si="7">(B6*0.45 + C6*0.55)</f>
        <v>35.41</v>
      </c>
      <c r="F6" s="4">
        <f t="shared" si="7"/>
        <v>65.35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4">
        <f t="shared" ref="E7:F7" si="8">(B7*0.45 + C7*0.55)</f>
        <v>45.57</v>
      </c>
      <c r="F7" s="4">
        <f t="shared" si="8"/>
        <v>57.315</v>
      </c>
      <c r="G7" s="3" t="str">
        <f t="shared" si="3"/>
        <v>B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4">
        <f t="shared" ref="E8:F8" si="9">(B8*0.45 + C8*0.55)</f>
        <v>56.85</v>
      </c>
      <c r="F8" s="4">
        <f t="shared" si="9"/>
        <v>56.83</v>
      </c>
      <c r="G8" s="3" t="str">
        <f t="shared" si="3"/>
        <v>B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4">
        <f t="shared" ref="E9:F9" si="10">(B9*0.45 + C9*0.55)</f>
        <v>76.165</v>
      </c>
      <c r="F9" s="4">
        <f t="shared" si="10"/>
        <v>71.12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4">
        <f t="shared" ref="E10:F10" si="11">(B10*0.45 + C10*0.55)</f>
        <v>55.08</v>
      </c>
      <c r="F10" s="4">
        <f t="shared" si="11"/>
        <v>40.54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4">
        <f t="shared" ref="E11:F11" si="12">(B11*0.45 + C11*0.55)</f>
        <v>77.17</v>
      </c>
      <c r="F11" s="4">
        <f t="shared" si="12"/>
        <v>45.98</v>
      </c>
      <c r="G11" s="3" t="str">
        <f t="shared" si="3"/>
        <v>C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4">
        <f t="shared" ref="E12:F12" si="13">(B12*0.45 + C12*0.55)</f>
        <v>81.31</v>
      </c>
      <c r="F12" s="4">
        <f t="shared" si="13"/>
        <v>86.785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4">
        <f t="shared" ref="E13:F13" si="14">(B13*0.45 + C13*0.55)</f>
        <v>65.745</v>
      </c>
      <c r="F13" s="4">
        <f t="shared" si="14"/>
        <v>65.52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4">
        <f t="shared" ref="E14:F14" si="15">(B14*0.45 + C14*0.55)</f>
        <v>13.17</v>
      </c>
      <c r="F14" s="4">
        <f t="shared" si="15"/>
        <v>50.37</v>
      </c>
      <c r="G14" s="3" t="str">
        <f t="shared" si="3"/>
        <v>B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4">
        <f t="shared" ref="E15:F15" si="16">(B15*0.45 + C15*0.55)</f>
        <v>47.43</v>
      </c>
      <c r="F15" s="4">
        <f t="shared" si="16"/>
        <v>64.98</v>
      </c>
      <c r="G15" s="3" t="str">
        <f t="shared" si="3"/>
        <v>B+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4">
        <f t="shared" ref="E16:F16" si="17">(B16*0.45 + C16*0.55)</f>
        <v>66.195</v>
      </c>
      <c r="F16" s="4">
        <f t="shared" si="17"/>
        <v>60.59</v>
      </c>
      <c r="G16" s="3" t="str">
        <f t="shared" si="3"/>
        <v>B+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4">
        <f t="shared" ref="E17:F17" si="18">(B17*0.45 + C17*0.55)</f>
        <v>65.635</v>
      </c>
      <c r="F17" s="4">
        <f t="shared" si="18"/>
        <v>95.86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4">
        <f t="shared" ref="E18:F18" si="19">(B18*0.45 + C18*0.55)</f>
        <v>32.175</v>
      </c>
      <c r="F18" s="4">
        <f t="shared" si="19"/>
        <v>44.09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4">
        <f t="shared" ref="E19:F19" si="20">(B19*0.45 + C19*0.55)</f>
        <v>88.75</v>
      </c>
      <c r="F19" s="4">
        <f t="shared" si="20"/>
        <v>52.015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4">
        <f t="shared" ref="E20:F20" si="21">(B20*0.45 + C20*0.55)</f>
        <v>40.46</v>
      </c>
      <c r="F20" s="4">
        <f t="shared" si="21"/>
        <v>45.145</v>
      </c>
      <c r="G20" s="3" t="str">
        <f t="shared" si="3"/>
        <v>C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4">
        <f t="shared" ref="E21:F21" si="22">(B21*0.45 + C21*0.55)</f>
        <v>88.61</v>
      </c>
      <c r="F21" s="4">
        <f t="shared" si="22"/>
        <v>63.335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4">
        <f t="shared" ref="E22:F22" si="23">(B22*0.45 + C22*0.55)</f>
        <v>85.41</v>
      </c>
      <c r="F22" s="4">
        <f t="shared" si="23"/>
        <v>67.66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4">
        <f t="shared" ref="E23:F23" si="24">(B23*0.45 + C23*0.55)</f>
        <v>58.705</v>
      </c>
      <c r="F23" s="4">
        <f t="shared" si="24"/>
        <v>67.04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4">
        <f t="shared" ref="E24:F24" si="25">(B24*0.45 + C24*0.55)</f>
        <v>19.08</v>
      </c>
      <c r="F24" s="4">
        <f t="shared" si="25"/>
        <v>38.645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4">
        <f t="shared" ref="E25:F25" si="26">(B25*0.45 + C25*0.55)</f>
        <v>37.235</v>
      </c>
      <c r="F25" s="4">
        <f t="shared" si="26"/>
        <v>50.4</v>
      </c>
      <c r="G25" s="3" t="str">
        <f t="shared" si="3"/>
        <v>B</v>
      </c>
      <c r="H25" s="3" t="str">
        <f t="shared" si="4"/>
        <v>P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4">
        <f t="shared" ref="E26:F26" si="27">(B26*0.45 + C26*0.55)</f>
        <v>18.55</v>
      </c>
      <c r="F26" s="4">
        <f t="shared" si="27"/>
        <v>37.275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4">
        <f t="shared" ref="E27:F27" si="28">(B27*0.45 + C27*0.55)</f>
        <v>72.375</v>
      </c>
      <c r="F27" s="4">
        <f t="shared" si="28"/>
        <v>80.21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4">
        <f t="shared" ref="E28:F28" si="29">(B28*0.45 + C28*0.55)</f>
        <v>26.765</v>
      </c>
      <c r="F28" s="4">
        <f t="shared" si="29"/>
        <v>38.485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4">
        <f t="shared" ref="E29:F29" si="30">(B29*0.45 + C29*0.55)</f>
        <v>23.13</v>
      </c>
      <c r="F29" s="4">
        <f t="shared" si="30"/>
        <v>51.715</v>
      </c>
      <c r="G29" s="3" t="str">
        <f t="shared" si="3"/>
        <v>B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4">
        <f t="shared" ref="E30:F30" si="31">(B30*0.45 + C30*0.55)</f>
        <v>79.24</v>
      </c>
      <c r="F30" s="4">
        <f t="shared" si="31"/>
        <v>56.575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4">
        <f t="shared" ref="E31:F31" si="32">(B31*0.45 + C31*0.55)</f>
        <v>58.785</v>
      </c>
      <c r="F31" s="4">
        <f t="shared" si="32"/>
        <v>52.92</v>
      </c>
      <c r="G31" s="3" t="str">
        <f t="shared" si="3"/>
        <v>B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4">
        <f t="shared" ref="E32:F32" si="33">(B32*0.45 + C32*0.55)</f>
        <v>73.53</v>
      </c>
      <c r="F32" s="4">
        <f t="shared" si="33"/>
        <v>46.67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4">
        <f t="shared" ref="E33:F33" si="34">(B33*0.45 + C33*0.55)</f>
        <v>57.315</v>
      </c>
      <c r="F33" s="4">
        <f t="shared" si="34"/>
        <v>28.425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4">
        <f t="shared" ref="E34:F34" si="35">(B34*0.45 + C34*0.55)</f>
        <v>35.575</v>
      </c>
      <c r="F34" s="4">
        <f t="shared" si="35"/>
        <v>41.48</v>
      </c>
      <c r="G34" s="3" t="str">
        <f t="shared" si="3"/>
        <v>C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4">
        <f t="shared" ref="E35:F35" si="36">(B35*0.45 + C35*0.55)</f>
        <v>33.41</v>
      </c>
      <c r="F35" s="4">
        <f t="shared" si="36"/>
        <v>53.34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4">
        <f t="shared" ref="E36:F36" si="37">(B36*0.45 + C36*0.55)</f>
        <v>58.74</v>
      </c>
      <c r="F36" s="4">
        <f t="shared" si="37"/>
        <v>53.365</v>
      </c>
      <c r="G36" s="3" t="str">
        <f t="shared" si="3"/>
        <v>B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4">
        <f t="shared" ref="E37:F37" si="38">(B37*0.45 + C37*0.55)</f>
        <v>50.82</v>
      </c>
      <c r="F37" s="4">
        <f t="shared" si="38"/>
        <v>38.13</v>
      </c>
      <c r="G37" s="3" t="str">
        <f t="shared" si="3"/>
        <v>D</v>
      </c>
      <c r="H37" s="3" t="str">
        <f t="shared" si="4"/>
        <v>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4">
        <f t="shared" ref="E38:F38" si="39">(B38*0.45 + C38*0.55)</f>
        <v>45.495</v>
      </c>
      <c r="F38" s="4">
        <f t="shared" si="39"/>
        <v>37.965</v>
      </c>
      <c r="G38" s="3" t="str">
        <f t="shared" si="3"/>
        <v>D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4">
        <f t="shared" ref="E39:F39" si="40">(B39*0.45 + C39*0.55)</f>
        <v>63.775</v>
      </c>
      <c r="F39" s="4">
        <f t="shared" si="40"/>
        <v>27.3</v>
      </c>
      <c r="G39" s="3" t="str">
        <f t="shared" si="3"/>
        <v>E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4">
        <f t="shared" ref="E40:F40" si="41">(B40*0.45 + C40*0.55)</f>
        <v>71.135</v>
      </c>
      <c r="F40" s="4">
        <f t="shared" si="41"/>
        <v>84.65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4">
        <f t="shared" ref="E41:F41" si="42">(B41*0.45 + C41*0.55)</f>
        <v>45.76</v>
      </c>
      <c r="F41" s="4">
        <f t="shared" si="42"/>
        <v>37.95</v>
      </c>
      <c r="G41" s="3" t="str">
        <f t="shared" si="3"/>
        <v>D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4">
        <f t="shared" ref="E42:F42" si="43">(B42*0.45 + C42*0.55)</f>
        <v>26.43</v>
      </c>
      <c r="F42" s="4">
        <f t="shared" si="43"/>
        <v>15.965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4">
        <f t="shared" ref="E43:F43" si="44">(B43*0.45 + C43*0.55)</f>
        <v>35.57</v>
      </c>
      <c r="F43" s="4">
        <f t="shared" si="44"/>
        <v>56.22</v>
      </c>
      <c r="G43" s="3" t="str">
        <f t="shared" si="3"/>
        <v>B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4">
        <f t="shared" ref="E44:F44" si="45">(B44*0.45 + C44*0.55)</f>
        <v>49.055</v>
      </c>
      <c r="F44" s="4">
        <f t="shared" si="45"/>
        <v>57.555</v>
      </c>
      <c r="G44" s="3" t="str">
        <f t="shared" si="3"/>
        <v>B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4">
        <f t="shared" ref="E45:F45" si="46">(B45*0.45 + C45*0.55)</f>
        <v>54.3</v>
      </c>
      <c r="F45" s="4">
        <f t="shared" si="46"/>
        <v>37.68</v>
      </c>
      <c r="G45" s="3" t="str">
        <f t="shared" si="3"/>
        <v>D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4">
        <f t="shared" ref="E46:F46" si="47">(B46*0.45 + C46*0.55)</f>
        <v>56.63</v>
      </c>
      <c r="F46" s="4">
        <f t="shared" si="47"/>
        <v>68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4">
        <f t="shared" ref="E47:F47" si="48">(B47*0.45 + C47*0.55)</f>
        <v>41.835</v>
      </c>
      <c r="F47" s="4">
        <f t="shared" si="48"/>
        <v>75.87</v>
      </c>
      <c r="G47" s="3" t="str">
        <f t="shared" si="3"/>
        <v>A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4">
        <f t="shared" ref="E48:F48" si="49">(B48*0.45 + C48*0.55)</f>
        <v>44.1</v>
      </c>
      <c r="F48" s="4">
        <f t="shared" si="49"/>
        <v>17.07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4">
        <f t="shared" ref="E49:F49" si="50">(B49*0.45 + C49*0.55)</f>
        <v>42.155</v>
      </c>
      <c r="F49" s="4">
        <f t="shared" si="50"/>
        <v>36.705</v>
      </c>
      <c r="G49" s="3" t="str">
        <f t="shared" si="3"/>
        <v>D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4">
        <f t="shared" ref="E50:F50" si="51">(B50*0.45 + C50*0.55)</f>
        <v>73.305</v>
      </c>
      <c r="F50" s="4">
        <f t="shared" si="51"/>
        <v>62.77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4">
        <f t="shared" ref="E51:F51" si="52">(B51*0.45 + C51*0.55)</f>
        <v>74.47</v>
      </c>
      <c r="F51" s="4">
        <f t="shared" si="52"/>
        <v>55.175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4">
        <f t="shared" ref="E52:F52" si="53">(B52*0.45 + C52*0.55)</f>
        <v>58.835</v>
      </c>
      <c r="F52" s="4">
        <f t="shared" si="53"/>
        <v>31.425</v>
      </c>
      <c r="G52" s="3" t="str">
        <f t="shared" si="3"/>
        <v>E</v>
      </c>
      <c r="H52" s="3" t="str">
        <f t="shared" si="4"/>
        <v>F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4">
        <f t="shared" ref="E53:F53" si="54">(B53*0.45 + C53*0.55)</f>
        <v>53.315</v>
      </c>
      <c r="F53" s="4">
        <f t="shared" si="54"/>
        <v>55.73</v>
      </c>
      <c r="G53" s="3" t="str">
        <f t="shared" si="3"/>
        <v>B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4">
        <f t="shared" ref="E54:F54" si="55">(B54*0.45 + C54*0.55)</f>
        <v>38.91</v>
      </c>
      <c r="F54" s="4">
        <f t="shared" si="55"/>
        <v>21.86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4">
        <f t="shared" ref="E55:F55" si="56">(B55*0.45 + C55*0.55)</f>
        <v>43.42</v>
      </c>
      <c r="F55" s="4">
        <f t="shared" si="56"/>
        <v>54.945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4">
        <f t="shared" ref="E56:F56" si="57">(B56*0.45 + C56*0.55)</f>
        <v>44.33</v>
      </c>
      <c r="F56" s="4">
        <f t="shared" si="57"/>
        <v>60.52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4">
        <f t="shared" ref="E57:F57" si="58">(B57*0.45 + C57*0.55)</f>
        <v>49.065</v>
      </c>
      <c r="F57" s="4">
        <f t="shared" si="58"/>
        <v>52.925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4">
        <f t="shared" ref="E58:F58" si="59">(B58*0.45 + C58*0.55)</f>
        <v>58.23</v>
      </c>
      <c r="F58" s="4">
        <f t="shared" si="59"/>
        <v>54.085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4">
        <f t="shared" ref="E59:F59" si="60">(B59*0.45 + C59*0.55)</f>
        <v>63.345</v>
      </c>
      <c r="F59" s="4">
        <f t="shared" si="60"/>
        <v>83.19</v>
      </c>
      <c r="G59" s="3" t="str">
        <f t="shared" si="3"/>
        <v>A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4">
        <f t="shared" ref="E60:F60" si="61">(B60*0.45 + C60*0.55)</f>
        <v>50.595</v>
      </c>
      <c r="F60" s="4">
        <f t="shared" si="61"/>
        <v>49.43</v>
      </c>
      <c r="G60" s="3" t="str">
        <f t="shared" si="3"/>
        <v>C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4">
        <f t="shared" ref="E61:F61" si="62">(B61*0.45 + C61*0.55)</f>
        <v>73.81</v>
      </c>
      <c r="F61" s="4">
        <f t="shared" si="62"/>
        <v>57.245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4">
        <f t="shared" ref="E62:F62" si="63">(B62*0.45 + C62*0.55)</f>
        <v>60.72</v>
      </c>
      <c r="F62" s="4">
        <f t="shared" si="63"/>
        <v>67.62</v>
      </c>
      <c r="G62" s="3" t="str">
        <f t="shared" si="3"/>
        <v>B+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4">
        <f t="shared" ref="E63:F63" si="64">(B63*0.45 + C63*0.55)</f>
        <v>65.92</v>
      </c>
      <c r="F63" s="4">
        <f t="shared" si="64"/>
        <v>68.74</v>
      </c>
      <c r="G63" s="3" t="str">
        <f t="shared" si="3"/>
        <v>B+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4">
        <f t="shared" ref="E64:F64" si="65">(B64*0.45 + C64*0.55)</f>
        <v>59.11</v>
      </c>
      <c r="F64" s="4">
        <f t="shared" si="65"/>
        <v>68.87</v>
      </c>
      <c r="G64" s="3" t="str">
        <f t="shared" si="3"/>
        <v>B+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4">
        <f t="shared" ref="E65:F65" si="66">(B65*0.45 + C65*0.55)</f>
        <v>48.775</v>
      </c>
      <c r="F65" s="4">
        <f t="shared" si="66"/>
        <v>70.95</v>
      </c>
      <c r="G65" s="3" t="str">
        <f t="shared" si="3"/>
        <v>A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4">
        <f t="shared" ref="E66:F66" si="67">(B66*0.45 + C66*0.55)</f>
        <v>58.925</v>
      </c>
      <c r="F66" s="4">
        <f t="shared" si="67"/>
        <v>79.135</v>
      </c>
      <c r="G66" s="3" t="str">
        <f t="shared" si="3"/>
        <v>A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4">
        <f t="shared" ref="E67:F67" si="68">(B67*0.45 + C67*0.55)</f>
        <v>33.595</v>
      </c>
      <c r="F67" s="4">
        <f t="shared" si="68"/>
        <v>27.82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4">
        <f t="shared" ref="E68:F68" si="69">(B68*0.45 + C68*0.55)</f>
        <v>53.885</v>
      </c>
      <c r="F68" s="4">
        <f t="shared" si="69"/>
        <v>61.515</v>
      </c>
      <c r="G68" s="3" t="str">
        <f t="shared" si="3"/>
        <v>B+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4">
        <f t="shared" ref="E69:F69" si="70">(B69*0.45 + C69*0.55)</f>
        <v>63.675</v>
      </c>
      <c r="F69" s="4">
        <f t="shared" si="70"/>
        <v>36.295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4">
        <f t="shared" ref="E70:F70" si="71">(B70*0.45 + C70*0.55)</f>
        <v>56.795</v>
      </c>
      <c r="F70" s="4">
        <f t="shared" si="71"/>
        <v>57.71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4">
        <f t="shared" ref="E71:F71" si="72">(B71*0.45 + C71*0.55)</f>
        <v>60.645</v>
      </c>
      <c r="F71" s="4">
        <f t="shared" si="72"/>
        <v>43.335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4">
        <f t="shared" ref="E72:F72" si="73">(B72*0.45 + C72*0.55)</f>
        <v>60.68</v>
      </c>
      <c r="F72" s="4">
        <f t="shared" si="73"/>
        <v>61.11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4">
        <f t="shared" ref="E73:F73" si="74">(B73*0.45 + C73*0.55)</f>
        <v>64.095</v>
      </c>
      <c r="F73" s="4">
        <f t="shared" si="74"/>
        <v>53.695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4">
        <f t="shared" ref="E74:F74" si="75">(B74*0.45 + C74*0.55)</f>
        <v>67.815</v>
      </c>
      <c r="F74" s="4">
        <f t="shared" si="75"/>
        <v>63.005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4">
        <f t="shared" ref="E75:F75" si="76">(B75*0.45 + C75*0.55)</f>
        <v>53.025</v>
      </c>
      <c r="F75" s="4">
        <f t="shared" si="76"/>
        <v>16.95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4">
        <f t="shared" ref="E76:F76" si="77">(B76*0.45 + C76*0.55)</f>
        <v>67.52</v>
      </c>
      <c r="F76" s="4">
        <f t="shared" si="77"/>
        <v>74.195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4">
        <f t="shared" ref="E77:F77" si="78">(B77*0.45 + C77*0.55)</f>
        <v>85.18</v>
      </c>
      <c r="F77" s="4">
        <f t="shared" si="78"/>
        <v>52.425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4">
        <f t="shared" ref="E78:F78" si="79">(B78*0.45 + C78*0.55)</f>
        <v>68.95</v>
      </c>
      <c r="F78" s="4">
        <f t="shared" si="79"/>
        <v>69.84</v>
      </c>
      <c r="G78" s="3" t="str">
        <f t="shared" si="3"/>
        <v>B+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4">
        <f t="shared" ref="E79:F79" si="80">(B79*0.45 + C79*0.55)</f>
        <v>34.26</v>
      </c>
      <c r="F79" s="4">
        <f t="shared" si="80"/>
        <v>55.805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4">
        <f t="shared" ref="E80:F80" si="81">(B80*0.45 + C80*0.55)</f>
        <v>43.455</v>
      </c>
      <c r="F80" s="4">
        <f t="shared" si="81"/>
        <v>59.285</v>
      </c>
      <c r="G80" s="3" t="str">
        <f t="shared" si="3"/>
        <v>B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4">
        <f t="shared" ref="E81:F81" si="82">(B81*0.45 + C81*0.55)</f>
        <v>37.09</v>
      </c>
      <c r="F81" s="4">
        <f t="shared" si="82"/>
        <v>54.955</v>
      </c>
      <c r="G81" s="3" t="str">
        <f t="shared" si="3"/>
        <v>B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4">
        <f t="shared" ref="E82:F82" si="83">(B82*0.45 + C82*0.55)</f>
        <v>29.085</v>
      </c>
      <c r="F82" s="4">
        <f t="shared" si="83"/>
        <v>56.395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4">
        <f t="shared" ref="E83:F83" si="84">(B83*0.45 + C83*0.55)</f>
        <v>38.42</v>
      </c>
      <c r="F83" s="4">
        <f t="shared" si="84"/>
        <v>49.95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4">
        <f t="shared" ref="E84:F84" si="85">(B84*0.45 + C84*0.55)</f>
        <v>69.28</v>
      </c>
      <c r="F84" s="4">
        <f t="shared" si="85"/>
        <v>37.01</v>
      </c>
      <c r="G84" s="3" t="str">
        <f t="shared" si="3"/>
        <v>D</v>
      </c>
      <c r="H84" s="3" t="str">
        <f t="shared" si="4"/>
        <v>F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4">
        <f t="shared" ref="E85:F85" si="86">(B85*0.45 + C85*0.55)</f>
        <v>47.03</v>
      </c>
      <c r="F85" s="4">
        <f t="shared" si="86"/>
        <v>39.665</v>
      </c>
      <c r="G85" s="3" t="str">
        <f t="shared" si="3"/>
        <v>D</v>
      </c>
      <c r="H85" s="3" t="str">
        <f t="shared" si="4"/>
        <v>F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4">
        <f t="shared" ref="E86:F86" si="87">(B86*0.45 + C86*0.55)</f>
        <v>43.19</v>
      </c>
      <c r="F86" s="4">
        <f t="shared" si="87"/>
        <v>49.225</v>
      </c>
      <c r="G86" s="3" t="str">
        <f t="shared" si="3"/>
        <v>C</v>
      </c>
      <c r="H86" s="3" t="str">
        <f t="shared" si="4"/>
        <v>P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4">
        <f t="shared" ref="E87:F87" si="88">(B87*0.45 + C87*0.55)</f>
        <v>34.965</v>
      </c>
      <c r="F87" s="4">
        <f t="shared" si="88"/>
        <v>57.585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4">
        <f t="shared" ref="E88:F88" si="89">(B88*0.45 + C88*0.55)</f>
        <v>44.85</v>
      </c>
      <c r="F88" s="4">
        <f t="shared" si="89"/>
        <v>26.64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4">
        <f t="shared" ref="E89:F89" si="90">(B89*0.45 + C89*0.55)</f>
        <v>14.165</v>
      </c>
      <c r="F89" s="4">
        <f t="shared" si="90"/>
        <v>53.84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4">
        <f t="shared" ref="E90:F90" si="91">(B90*0.45 + C90*0.55)</f>
        <v>48.13</v>
      </c>
      <c r="F90" s="4">
        <f t="shared" si="91"/>
        <v>61.5</v>
      </c>
      <c r="G90" s="3" t="str">
        <f t="shared" si="3"/>
        <v>B+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4">
        <f t="shared" ref="E91:F91" si="92">(B91*0.45 + C91*0.55)</f>
        <v>69.535</v>
      </c>
      <c r="F91" s="4">
        <f t="shared" si="92"/>
        <v>68.205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4">
        <f t="shared" ref="E92:F92" si="93">(B92*0.45 + C92*0.55)</f>
        <v>15.55</v>
      </c>
      <c r="F92" s="4">
        <f t="shared" si="93"/>
        <v>52.31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4">
        <f t="shared" ref="E93:F93" si="94">(B93*0.45 + C93*0.55)</f>
        <v>57.365</v>
      </c>
      <c r="F93" s="4">
        <f t="shared" si="94"/>
        <v>33.695</v>
      </c>
      <c r="G93" s="3" t="str">
        <f t="shared" si="3"/>
        <v>E</v>
      </c>
      <c r="H93" s="3" t="str">
        <f t="shared" si="4"/>
        <v>F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4">
        <f t="shared" ref="E94:F94" si="95">(B94*0.45 + C94*0.55)</f>
        <v>27.885</v>
      </c>
      <c r="F94" s="4">
        <f t="shared" si="95"/>
        <v>21.085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4">
        <f t="shared" ref="E95:F95" si="96">(B95*0.45 + C95*0.55)</f>
        <v>46.705</v>
      </c>
      <c r="F95" s="4">
        <f t="shared" si="96"/>
        <v>66.59</v>
      </c>
      <c r="G95" s="3" t="str">
        <f t="shared" si="3"/>
        <v>B+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4">
        <f t="shared" ref="E96:F96" si="97">(B96*0.45 + C96*0.55)</f>
        <v>23.25</v>
      </c>
      <c r="F96" s="4">
        <f t="shared" si="97"/>
        <v>41.97</v>
      </c>
      <c r="G96" s="3" t="str">
        <f t="shared" si="3"/>
        <v>C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4">
        <f t="shared" ref="E97:F97" si="98">(B97*0.45 + C97*0.55)</f>
        <v>50.79</v>
      </c>
      <c r="F97" s="4">
        <f t="shared" si="98"/>
        <v>50.945</v>
      </c>
      <c r="G97" s="3" t="str">
        <f t="shared" si="3"/>
        <v>B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4">
        <f t="shared" ref="E98:F98" si="99">(B98*0.45 + C98*0.55)</f>
        <v>55.815</v>
      </c>
      <c r="F98" s="4">
        <f t="shared" si="99"/>
        <v>53.07</v>
      </c>
      <c r="G98" s="3" t="str">
        <f t="shared" si="3"/>
        <v>B</v>
      </c>
      <c r="H98" s="3" t="str">
        <f t="shared" si="4"/>
        <v>P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4">
        <f t="shared" ref="E99:F99" si="100">(B99*0.45 + C99*0.55)</f>
        <v>27.65</v>
      </c>
      <c r="F99" s="4">
        <f t="shared" si="100"/>
        <v>34.01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4">
        <f t="shared" ref="E100:F100" si="101">(B100*0.45 + C100*0.55)</f>
        <v>94.98</v>
      </c>
      <c r="F100" s="4">
        <f t="shared" si="101"/>
        <v>84.48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4">
        <f t="shared" ref="E101:F101" si="102">(B101*0.45 + C101*0.55)</f>
        <v>70.815</v>
      </c>
      <c r="F101" s="4">
        <f t="shared" si="102"/>
        <v>62.215</v>
      </c>
      <c r="G101" s="3" t="str">
        <f t="shared" si="3"/>
        <v>B+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4">
        <f t="shared" ref="E102:F102" si="103">(B102*0.45 + C102*0.55)</f>
        <v>28.205</v>
      </c>
      <c r="F102" s="4">
        <f t="shared" si="103"/>
        <v>35.825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4">
        <f t="shared" ref="E103:F103" si="104">(B103*0.45 + C103*0.55)</f>
        <v>74.575</v>
      </c>
      <c r="F103" s="4">
        <f t="shared" si="104"/>
        <v>43.3</v>
      </c>
      <c r="G103" s="3" t="str">
        <f t="shared" si="3"/>
        <v>C</v>
      </c>
      <c r="H103" s="3" t="str">
        <f t="shared" si="4"/>
        <v>F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4">
        <f t="shared" ref="E104:F104" si="105">(B104*0.45 + C104*0.55)</f>
        <v>43.97</v>
      </c>
      <c r="F104" s="4">
        <f t="shared" si="105"/>
        <v>18.92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4">
        <f t="shared" ref="E105:F105" si="106">(B105*0.45 + C105*0.55)</f>
        <v>72.865</v>
      </c>
      <c r="F105" s="4">
        <f t="shared" si="106"/>
        <v>58.23</v>
      </c>
      <c r="G105" s="3" t="str">
        <f t="shared" si="3"/>
        <v>B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4">
        <f t="shared" ref="E106:F106" si="107">(B106*0.45 + C106*0.55)</f>
        <v>37.405</v>
      </c>
      <c r="F106" s="4">
        <f t="shared" si="107"/>
        <v>69.81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4">
        <f t="shared" ref="E107:F107" si="108">(B107*0.45 + C107*0.55)</f>
        <v>30.55</v>
      </c>
      <c r="F107" s="4">
        <f t="shared" si="108"/>
        <v>48.8</v>
      </c>
      <c r="G107" s="3" t="str">
        <f t="shared" si="3"/>
        <v>C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4">
        <f t="shared" ref="E108:F108" si="109">(B108*0.45 + C108*0.55)</f>
        <v>45.7</v>
      </c>
      <c r="F108" s="4">
        <f t="shared" si="109"/>
        <v>54.95</v>
      </c>
      <c r="G108" s="3" t="str">
        <f t="shared" si="3"/>
        <v>B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4">
        <f t="shared" ref="E109:F109" si="110">(B109*0.45 + C109*0.55)</f>
        <v>43.32</v>
      </c>
      <c r="F109" s="4">
        <f t="shared" si="110"/>
        <v>53.6</v>
      </c>
      <c r="G109" s="3" t="str">
        <f t="shared" si="3"/>
        <v>B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4">
        <f t="shared" ref="E110:F110" si="111">(B110*0.45 + C110*0.55)</f>
        <v>53.305</v>
      </c>
      <c r="F110" s="4">
        <f t="shared" si="111"/>
        <v>55.425</v>
      </c>
      <c r="G110" s="3" t="str">
        <f t="shared" si="3"/>
        <v>B</v>
      </c>
      <c r="H110" s="3" t="str">
        <f t="shared" si="4"/>
        <v>P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4">
        <f t="shared" ref="E111:F111" si="112">(B111*0.45 + C111*0.55)</f>
        <v>51.58</v>
      </c>
      <c r="F111" s="4">
        <f t="shared" si="112"/>
        <v>40.62</v>
      </c>
      <c r="G111" s="3" t="str">
        <f t="shared" si="3"/>
        <v>C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4">
        <f t="shared" ref="E112:F112" si="113">(B112*0.45 + C112*0.55)</f>
        <v>70.615</v>
      </c>
      <c r="F112" s="4">
        <f t="shared" si="113"/>
        <v>75.46</v>
      </c>
      <c r="G112" s="3" t="str">
        <f t="shared" si="3"/>
        <v>A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4">
        <f t="shared" ref="E113:F113" si="114">(B113*0.45 + C113*0.55)</f>
        <v>57.415</v>
      </c>
      <c r="F113" s="4">
        <f t="shared" si="114"/>
        <v>87.85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4">
        <f t="shared" ref="E114:F114" si="115">(B114*0.45 + C114*0.55)</f>
        <v>80.535</v>
      </c>
      <c r="F114" s="4">
        <f t="shared" si="115"/>
        <v>90.725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4">
        <f t="shared" ref="E115:F115" si="116">(B115*0.45 + C115*0.55)</f>
        <v>40.525</v>
      </c>
      <c r="F115" s="4">
        <f t="shared" si="116"/>
        <v>62.915</v>
      </c>
      <c r="G115" s="3" t="str">
        <f t="shared" si="3"/>
        <v>B+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4">
        <f t="shared" ref="E116:F116" si="117">(B116*0.45 + C116*0.55)</f>
        <v>53.63</v>
      </c>
      <c r="F116" s="4">
        <f t="shared" si="117"/>
        <v>80.895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4">
        <f t="shared" ref="E117:F117" si="118">(B117*0.45 + C117*0.55)</f>
        <v>69.545</v>
      </c>
      <c r="F117" s="4">
        <f t="shared" si="118"/>
        <v>75.485</v>
      </c>
      <c r="G117" s="3" t="str">
        <f t="shared" si="3"/>
        <v>A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4">
        <f t="shared" ref="E118:F118" si="119">(B118*0.45 + C118*0.55)</f>
        <v>69.905</v>
      </c>
      <c r="F118" s="4">
        <f t="shared" si="119"/>
        <v>56.335</v>
      </c>
      <c r="G118" s="3" t="str">
        <f t="shared" si="3"/>
        <v>B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4">
        <f t="shared" ref="E119:F119" si="120">(B119*0.45 + C119*0.55)</f>
        <v>28.15</v>
      </c>
      <c r="F119" s="4">
        <f t="shared" si="120"/>
        <v>66.89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4">
        <f t="shared" ref="E120:F120" si="121">(B120*0.45 + C120*0.55)</f>
        <v>75.605</v>
      </c>
      <c r="F120" s="4">
        <f t="shared" si="121"/>
        <v>82.215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4">
        <f t="shared" ref="E121:F121" si="122">(B121*0.45 + C121*0.55)</f>
        <v>21.82</v>
      </c>
      <c r="F121" s="4">
        <f t="shared" si="122"/>
        <v>53.91</v>
      </c>
      <c r="G121" s="3" t="str">
        <f t="shared" si="3"/>
        <v>B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4">
        <f t="shared" ref="E122:F122" si="123">(B122*0.45 + C122*0.55)</f>
        <v>58.825</v>
      </c>
      <c r="F122" s="4">
        <f t="shared" si="123"/>
        <v>33.27</v>
      </c>
      <c r="G122" s="3" t="str">
        <f t="shared" si="3"/>
        <v>E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4">
        <f t="shared" ref="E123:F123" si="124">(B123*0.45 + C123*0.55)</f>
        <v>67.655</v>
      </c>
      <c r="F123" s="4">
        <f t="shared" si="124"/>
        <v>47.31</v>
      </c>
      <c r="G123" s="3" t="str">
        <f t="shared" si="3"/>
        <v>C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4">
        <f t="shared" ref="E124:F124" si="125">(B124*0.45 + C124*0.55)</f>
        <v>42.61</v>
      </c>
      <c r="F124" s="4">
        <f t="shared" si="125"/>
        <v>74.22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4">
        <f t="shared" ref="E125:F125" si="126">(B125*0.45 + C125*0.55)</f>
        <v>70.2</v>
      </c>
      <c r="F125" s="4">
        <f t="shared" si="126"/>
        <v>96.2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4">
        <f t="shared" ref="E126:F126" si="127">(B126*0.45 + C126*0.55)</f>
        <v>77.715</v>
      </c>
      <c r="F126" s="4">
        <f t="shared" si="127"/>
        <v>63.805</v>
      </c>
      <c r="G126" s="3" t="str">
        <f t="shared" si="3"/>
        <v>B+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4">
        <f t="shared" ref="E127:F127" si="128">(B127*0.45 + C127*0.55)</f>
        <v>54.515</v>
      </c>
      <c r="F127" s="4">
        <f t="shared" si="128"/>
        <v>39.165</v>
      </c>
      <c r="G127" s="3" t="str">
        <f t="shared" si="3"/>
        <v>D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4">
        <f t="shared" ref="E128:F128" si="129">(B128*0.45 + C128*0.55)</f>
        <v>37.395</v>
      </c>
      <c r="F128" s="4">
        <f t="shared" si="129"/>
        <v>16.31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4">
        <f t="shared" ref="E129:F129" si="130">(B129*0.45 + C129*0.55)</f>
        <v>33.16</v>
      </c>
      <c r="F129" s="4">
        <f t="shared" si="130"/>
        <v>58.285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4">
        <f t="shared" ref="E130:F130" si="131">(B130*0.45 + C130*0.55)</f>
        <v>45.17</v>
      </c>
      <c r="F130" s="4">
        <f t="shared" si="131"/>
        <v>24.405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4">
        <f t="shared" ref="E131:F131" si="132">(B131*0.45 + C131*0.55)</f>
        <v>71.355</v>
      </c>
      <c r="F131" s="4">
        <f t="shared" si="132"/>
        <v>46.94</v>
      </c>
      <c r="G131" s="3" t="str">
        <f t="shared" si="3"/>
        <v>C</v>
      </c>
      <c r="H131" s="3" t="str">
        <f t="shared" si="4"/>
        <v>P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4">
        <f t="shared" ref="E132:F132" si="133">(B132*0.45 + C132*0.55)</f>
        <v>40.325</v>
      </c>
      <c r="F132" s="4">
        <f t="shared" si="133"/>
        <v>35.805</v>
      </c>
      <c r="G132" s="3" t="str">
        <f t="shared" si="3"/>
        <v>D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4">
        <f t="shared" ref="E133:F133" si="134">(B133*0.45 + C133*0.55)</f>
        <v>39.06</v>
      </c>
      <c r="F133" s="4">
        <f t="shared" si="134"/>
        <v>58.645</v>
      </c>
      <c r="G133" s="3" t="str">
        <f t="shared" si="3"/>
        <v>B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4">
        <f t="shared" ref="E134:F134" si="135">(B134*0.45 + C134*0.55)</f>
        <v>46.58</v>
      </c>
      <c r="F134" s="4">
        <f t="shared" si="135"/>
        <v>70.095</v>
      </c>
      <c r="G134" s="3" t="str">
        <f t="shared" si="3"/>
        <v>A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4">
        <f t="shared" ref="E135:F135" si="136">(B135*0.45 + C135*0.55)</f>
        <v>61.34</v>
      </c>
      <c r="F135" s="4">
        <f t="shared" si="136"/>
        <v>56.725</v>
      </c>
      <c r="G135" s="3" t="str">
        <f t="shared" si="3"/>
        <v>B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4">
        <f t="shared" ref="E136:F136" si="137">(B136*0.45 + C136*0.55)</f>
        <v>52.9</v>
      </c>
      <c r="F136" s="4">
        <f t="shared" si="137"/>
        <v>22.645</v>
      </c>
      <c r="G136" s="3" t="str">
        <f t="shared" si="3"/>
        <v>E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4">
        <f t="shared" ref="E137:F137" si="138">(B137*0.45 + C137*0.55)</f>
        <v>34.18</v>
      </c>
      <c r="F137" s="4">
        <f t="shared" si="138"/>
        <v>24.53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4">
        <f t="shared" ref="E138:F138" si="139">(B138*0.45 + C138*0.55)</f>
        <v>67.35</v>
      </c>
      <c r="F138" s="4">
        <f t="shared" si="139"/>
        <v>62.035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4">
        <f t="shared" ref="E139:F139" si="140">(B139*0.45 + C139*0.55)</f>
        <v>39.53</v>
      </c>
      <c r="F139" s="4">
        <f t="shared" si="140"/>
        <v>51.37</v>
      </c>
      <c r="G139" s="3" t="str">
        <f t="shared" si="3"/>
        <v>B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4">
        <f t="shared" ref="E140:F140" si="141">(B140*0.45 + C140*0.55)</f>
        <v>50.65</v>
      </c>
      <c r="F140" s="4">
        <f t="shared" si="141"/>
        <v>36.315</v>
      </c>
      <c r="G140" s="3" t="str">
        <f t="shared" si="3"/>
        <v>D</v>
      </c>
      <c r="H140" s="3" t="str">
        <f t="shared" si="4"/>
        <v>F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4">
        <f t="shared" ref="E141:F141" si="142">(B141*0.45 + C141*0.55)</f>
        <v>56.28</v>
      </c>
      <c r="F141" s="4">
        <f t="shared" si="142"/>
        <v>46.645</v>
      </c>
      <c r="G141" s="3" t="str">
        <f t="shared" si="3"/>
        <v>C</v>
      </c>
      <c r="H141" s="3" t="str">
        <f t="shared" si="4"/>
        <v>P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4">
        <f t="shared" ref="E142:F142" si="143">(B142*0.45 + C142*0.55)</f>
        <v>69.925</v>
      </c>
      <c r="F142" s="4">
        <f t="shared" si="143"/>
        <v>59.915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4">
        <f t="shared" ref="E143:F143" si="144">(B143*0.45 + C143*0.55)</f>
        <v>53.18</v>
      </c>
      <c r="F143" s="4">
        <f t="shared" si="144"/>
        <v>42.8</v>
      </c>
      <c r="G143" s="3" t="str">
        <f t="shared" si="3"/>
        <v>C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4">
        <f t="shared" ref="E144:F144" si="145">(B144*0.45 + C144*0.55)</f>
        <v>70.31</v>
      </c>
      <c r="F144" s="4">
        <f t="shared" si="145"/>
        <v>62.345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4">
        <f t="shared" ref="E145:F145" si="146">(B145*0.45 + C145*0.55)</f>
        <v>45.865</v>
      </c>
      <c r="F145" s="4">
        <f t="shared" si="146"/>
        <v>34.48</v>
      </c>
      <c r="G145" s="3" t="str">
        <f t="shared" si="3"/>
        <v>E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4">
        <f t="shared" ref="E146:F146" si="147">(B146*0.45 + C146*0.55)</f>
        <v>35.315</v>
      </c>
      <c r="F146" s="4">
        <f t="shared" si="147"/>
        <v>30.62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4">
        <f t="shared" ref="E147:F147" si="148">(B147*0.45 + C147*0.55)</f>
        <v>70.63</v>
      </c>
      <c r="F147" s="4">
        <f t="shared" si="148"/>
        <v>77.63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4">
        <f t="shared" ref="E148:F148" si="149">(B148*0.45 + C148*0.55)</f>
        <v>76.18</v>
      </c>
      <c r="F148" s="4">
        <f t="shared" si="149"/>
        <v>76.59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4">
        <f t="shared" ref="E149:F149" si="150">(B149*0.45 + C149*0.55)</f>
        <v>50.55</v>
      </c>
      <c r="F149" s="4">
        <f t="shared" si="150"/>
        <v>78.155</v>
      </c>
      <c r="G149" s="3" t="str">
        <f t="shared" si="3"/>
        <v>A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4">
        <f t="shared" ref="E150:F150" si="151">(B150*0.45 + C150*0.55)</f>
        <v>62.705</v>
      </c>
      <c r="F150" s="4">
        <f t="shared" si="151"/>
        <v>27.88</v>
      </c>
      <c r="G150" s="3" t="str">
        <f t="shared" si="3"/>
        <v>E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4">
        <f t="shared" ref="E151:F151" si="152">(B151*0.45 + C151*0.55)</f>
        <v>56.14</v>
      </c>
      <c r="F151" s="4">
        <f t="shared" si="152"/>
        <v>51.9</v>
      </c>
      <c r="G151" s="3" t="str">
        <f t="shared" si="3"/>
        <v>B</v>
      </c>
      <c r="H151" s="3" t="str">
        <f t="shared" si="4"/>
        <v>P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4">
        <f t="shared" ref="E152:F152" si="153">(B152*0.45 + C152*0.55)</f>
        <v>36.9</v>
      </c>
      <c r="F152" s="4">
        <f t="shared" si="153"/>
        <v>33.335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4">
        <f t="shared" ref="E153:F153" si="154">(B153*0.45 + C153*0.55)</f>
        <v>42.325</v>
      </c>
      <c r="F153" s="4">
        <f t="shared" si="154"/>
        <v>49.99</v>
      </c>
      <c r="G153" s="3" t="str">
        <f t="shared" si="3"/>
        <v>C</v>
      </c>
      <c r="H153" s="3" t="str">
        <f t="shared" si="4"/>
        <v>P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4">
        <f t="shared" ref="E154:F154" si="155">(B154*0.45 + C154*0.55)</f>
        <v>33.095</v>
      </c>
      <c r="F154" s="4">
        <f t="shared" si="155"/>
        <v>68.72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4">
        <f t="shared" ref="E155:F155" si="156">(B155*0.45 + C155*0.55)</f>
        <v>82.425</v>
      </c>
      <c r="F155" s="4">
        <f t="shared" si="156"/>
        <v>88.11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4">
        <f t="shared" ref="E156:F156" si="157">(B156*0.45 + C156*0.55)</f>
        <v>50.635</v>
      </c>
      <c r="F156" s="4">
        <f t="shared" si="157"/>
        <v>35.49</v>
      </c>
      <c r="G156" s="3" t="str">
        <f t="shared" si="3"/>
        <v>D</v>
      </c>
      <c r="H156" s="3" t="str">
        <f t="shared" si="4"/>
        <v>F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4">
        <f t="shared" ref="E157:F157" si="158">(B157*0.45 + C157*0.55)</f>
        <v>82.035</v>
      </c>
      <c r="F157" s="4">
        <f t="shared" si="158"/>
        <v>76.595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4">
        <f t="shared" ref="E158:F158" si="159">(B158*0.45 + C158*0.55)</f>
        <v>57.125</v>
      </c>
      <c r="F158" s="4">
        <f t="shared" si="159"/>
        <v>67.25</v>
      </c>
      <c r="G158" s="3" t="str">
        <f t="shared" si="3"/>
        <v>B+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4">
        <f t="shared" ref="E159:F159" si="160">(B159*0.45 + C159*0.55)</f>
        <v>65.725</v>
      </c>
      <c r="F159" s="4">
        <f t="shared" si="160"/>
        <v>90.555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4">
        <f t="shared" ref="E160:F160" si="161">(B160*0.45 + C160*0.55)</f>
        <v>61.51</v>
      </c>
      <c r="F160" s="4">
        <f t="shared" si="161"/>
        <v>47.32</v>
      </c>
      <c r="G160" s="3" t="str">
        <f t="shared" si="3"/>
        <v>C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4">
        <f t="shared" ref="E161:F161" si="162">(B161*0.45 + C161*0.55)</f>
        <v>72.705</v>
      </c>
      <c r="F161" s="4">
        <f t="shared" si="162"/>
        <v>74.33</v>
      </c>
      <c r="G161" s="3" t="str">
        <f t="shared" si="3"/>
        <v>A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4">
        <f t="shared" ref="E162:F162" si="163">(B162*0.45 + C162*0.55)</f>
        <v>88.145</v>
      </c>
      <c r="F162" s="4">
        <f t="shared" si="163"/>
        <v>53.765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4">
        <f t="shared" ref="E163:F163" si="164">(B163*0.45 + C163*0.55)</f>
        <v>38.605</v>
      </c>
      <c r="F163" s="4">
        <f t="shared" si="164"/>
        <v>26.29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4">
        <f t="shared" ref="E164:F164" si="165">(B164*0.45 + C164*0.55)</f>
        <v>48.375</v>
      </c>
      <c r="F164" s="4">
        <f t="shared" si="165"/>
        <v>40.765</v>
      </c>
      <c r="G164" s="3" t="str">
        <f t="shared" si="3"/>
        <v>C</v>
      </c>
      <c r="H164" s="3" t="str">
        <f t="shared" si="4"/>
        <v>F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4">
        <f t="shared" ref="E165:F165" si="166">(B165*0.45 + C165*0.55)</f>
        <v>35.785</v>
      </c>
      <c r="F165" s="4">
        <f t="shared" si="166"/>
        <v>64.805</v>
      </c>
      <c r="G165" s="3" t="str">
        <f t="shared" si="3"/>
        <v>B+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4">
        <f t="shared" ref="E166:F166" si="167">(B166*0.45 + C166*0.55)</f>
        <v>53.295</v>
      </c>
      <c r="F166" s="4">
        <f t="shared" si="167"/>
        <v>44.665</v>
      </c>
      <c r="G166" s="3" t="str">
        <f t="shared" si="3"/>
        <v>C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4">
        <f t="shared" ref="E167:F167" si="168">(B167*0.45 + C167*0.55)</f>
        <v>77.215</v>
      </c>
      <c r="F167" s="4">
        <f t="shared" si="168"/>
        <v>84.09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4">
        <f t="shared" ref="E168:F168" si="169">(B168*0.45 + C168*0.55)</f>
        <v>32.45</v>
      </c>
      <c r="F168" s="4">
        <f t="shared" si="169"/>
        <v>43.55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4">
        <f t="shared" ref="E169:F169" si="170">(B169*0.45 + C169*0.55)</f>
        <v>59.035</v>
      </c>
      <c r="F169" s="4">
        <f t="shared" si="170"/>
        <v>61.53</v>
      </c>
      <c r="G169" s="3" t="str">
        <f t="shared" si="3"/>
        <v>B+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4">
        <f t="shared" ref="E170:F170" si="171">(B170*0.45 + C170*0.55)</f>
        <v>40.255</v>
      </c>
      <c r="F170" s="4">
        <f t="shared" si="171"/>
        <v>56.285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4">
        <f t="shared" ref="E171:F171" si="172">(B171*0.45 + C171*0.55)</f>
        <v>76.765</v>
      </c>
      <c r="F171" s="4">
        <f t="shared" si="172"/>
        <v>69.99</v>
      </c>
      <c r="G171" s="3" t="str">
        <f t="shared" si="3"/>
        <v>B+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4">
        <f t="shared" ref="E172:F172" si="173">(B172*0.45 + C172*0.55)</f>
        <v>59.895</v>
      </c>
      <c r="F172" s="4">
        <f t="shared" si="173"/>
        <v>67.6</v>
      </c>
      <c r="G172" s="3" t="str">
        <f t="shared" si="3"/>
        <v>B+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4">
        <f t="shared" ref="E173:F173" si="174">(B173*0.45 + C173*0.55)</f>
        <v>73.75</v>
      </c>
      <c r="F173" s="4">
        <f t="shared" si="174"/>
        <v>65.305</v>
      </c>
      <c r="G173" s="3" t="str">
        <f t="shared" si="3"/>
        <v>B+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4">
        <f t="shared" ref="E174:F174" si="175">(B174*0.45 + C174*0.55)</f>
        <v>41.355</v>
      </c>
      <c r="F174" s="4">
        <f t="shared" si="175"/>
        <v>58.405</v>
      </c>
      <c r="G174" s="3" t="str">
        <f t="shared" si="3"/>
        <v>B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4">
        <f t="shared" ref="E175:F175" si="176">(B175*0.45 + C175*0.55)</f>
        <v>85.14</v>
      </c>
      <c r="F175" s="4">
        <f t="shared" si="176"/>
        <v>76.295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4">
        <f t="shared" ref="E176:F176" si="177">(B176*0.45 + C176*0.55)</f>
        <v>44.59</v>
      </c>
      <c r="F176" s="4">
        <f t="shared" si="177"/>
        <v>45.91</v>
      </c>
      <c r="G176" s="3" t="str">
        <f t="shared" si="3"/>
        <v>C</v>
      </c>
      <c r="H176" s="3" t="str">
        <f t="shared" si="4"/>
        <v>P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4">
        <f t="shared" ref="E177:F177" si="178">(B177*0.45 + C177*0.55)</f>
        <v>47.81</v>
      </c>
      <c r="F177" s="4">
        <f t="shared" si="178"/>
        <v>53.46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4">
        <f t="shared" ref="E178:F178" si="179">(B178*0.45 + C178*0.55)</f>
        <v>43.515</v>
      </c>
      <c r="F178" s="4">
        <f t="shared" si="179"/>
        <v>61.605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4">
        <f t="shared" ref="E179:F179" si="180">(B179*0.45 + C179*0.55)</f>
        <v>44.4</v>
      </c>
      <c r="F179" s="4">
        <f t="shared" si="180"/>
        <v>42.945</v>
      </c>
      <c r="G179" s="3" t="str">
        <f t="shared" si="3"/>
        <v>C</v>
      </c>
      <c r="H179" s="3" t="str">
        <f t="shared" si="4"/>
        <v>F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4">
        <f t="shared" ref="E180:F180" si="181">(B180*0.45 + C180*0.55)</f>
        <v>62.445</v>
      </c>
      <c r="F180" s="4">
        <f t="shared" si="181"/>
        <v>92.15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4">
        <f t="shared" ref="E181:F181" si="182">(B181*0.45 + C181*0.55)</f>
        <v>11.65</v>
      </c>
      <c r="F181" s="4">
        <f t="shared" si="182"/>
        <v>30.415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4">
        <f t="shared" ref="E182:F182" si="183">(B182*0.45 + C182*0.55)</f>
        <v>53.87</v>
      </c>
      <c r="F182" s="4">
        <f t="shared" si="183"/>
        <v>81.295</v>
      </c>
      <c r="G182" s="3" t="str">
        <f t="shared" si="3"/>
        <v>A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4">
        <f t="shared" ref="E183:F183" si="184">(B183*0.45 + C183*0.55)</f>
        <v>43.14</v>
      </c>
      <c r="F183" s="4">
        <f t="shared" si="184"/>
        <v>58.52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4">
        <f t="shared" ref="E184:F184" si="185">(B184*0.45 + C184*0.55)</f>
        <v>25.18</v>
      </c>
      <c r="F184" s="4">
        <f t="shared" si="185"/>
        <v>35.075</v>
      </c>
      <c r="G184" s="3" t="str">
        <f t="shared" si="3"/>
        <v>D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4">
        <f t="shared" ref="E185:F185" si="186">(B185*0.45 + C185*0.55)</f>
        <v>30.83</v>
      </c>
      <c r="F185" s="4">
        <f t="shared" si="186"/>
        <v>31.28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4">
        <f t="shared" ref="E186:F186" si="187">(B186*0.45 + C186*0.55)</f>
        <v>45.68</v>
      </c>
      <c r="F186" s="4">
        <f t="shared" si="187"/>
        <v>78.46</v>
      </c>
      <c r="G186" s="3" t="str">
        <f t="shared" si="3"/>
        <v>A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4">
        <f t="shared" ref="E187:F187" si="188">(B187*0.45 + C187*0.55)</f>
        <v>39.295</v>
      </c>
      <c r="F187" s="4">
        <f t="shared" si="188"/>
        <v>51.27</v>
      </c>
      <c r="G187" s="3" t="str">
        <f t="shared" si="3"/>
        <v>B</v>
      </c>
      <c r="H187" s="3" t="str">
        <f t="shared" si="4"/>
        <v>P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4">
        <f t="shared" ref="E188:F188" si="189">(B188*0.45 + C188*0.55)</f>
        <v>47.415</v>
      </c>
      <c r="F188" s="4">
        <f t="shared" si="189"/>
        <v>85.185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4">
        <f t="shared" ref="E189:F189" si="190">(B189*0.45 + C189*0.55)</f>
        <v>59.505</v>
      </c>
      <c r="F189" s="4">
        <f t="shared" si="190"/>
        <v>66.795</v>
      </c>
      <c r="G189" s="3" t="str">
        <f t="shared" si="3"/>
        <v>B+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4">
        <f t="shared" ref="E190:F190" si="191">(B190*0.45 + C190*0.55)</f>
        <v>58.445</v>
      </c>
      <c r="F190" s="4">
        <f t="shared" si="191"/>
        <v>40.73</v>
      </c>
      <c r="G190" s="3" t="str">
        <f t="shared" si="3"/>
        <v>C</v>
      </c>
      <c r="H190" s="3" t="str">
        <f t="shared" si="4"/>
        <v>F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4">
        <f t="shared" ref="E191:F191" si="192">(B191*0.45 + C191*0.55)</f>
        <v>76.16</v>
      </c>
      <c r="F191" s="4">
        <f t="shared" si="192"/>
        <v>70.11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4">
        <f t="shared" ref="E192:F192" si="193">(B192*0.45 + C192*0.55)</f>
        <v>40.36</v>
      </c>
      <c r="F192" s="4">
        <f t="shared" si="193"/>
        <v>67.58</v>
      </c>
      <c r="G192" s="3" t="str">
        <f t="shared" si="3"/>
        <v>B+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4">
        <f t="shared" ref="E193:F193" si="194">(B193*0.45 + C193*0.55)</f>
        <v>62.085</v>
      </c>
      <c r="F193" s="4">
        <f t="shared" si="194"/>
        <v>51.34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4">
        <f t="shared" ref="E194:F194" si="195">(B194*0.45 + C194*0.55)</f>
        <v>15.235</v>
      </c>
      <c r="F194" s="4">
        <f t="shared" si="195"/>
        <v>37.595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4">
        <f t="shared" ref="E195:F195" si="196">(B195*0.45 + C195*0.55)</f>
        <v>63.63</v>
      </c>
      <c r="F195" s="4">
        <f t="shared" si="196"/>
        <v>84.375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4">
        <f t="shared" ref="E196:F196" si="197">(B196*0.45 + C196*0.55)</f>
        <v>62.945</v>
      </c>
      <c r="F196" s="4">
        <f t="shared" si="197"/>
        <v>41.655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4">
        <f t="shared" ref="E197:F197" si="198">(B197*0.45 + C197*0.55)</f>
        <v>62.54</v>
      </c>
      <c r="F197" s="4">
        <f t="shared" si="198"/>
        <v>58.08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4">
        <f t="shared" ref="E198:F198" si="199">(B198*0.45 + C198*0.55)</f>
        <v>89.68</v>
      </c>
      <c r="F198" s="4">
        <f t="shared" si="199"/>
        <v>97.365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4">
        <f t="shared" ref="E199:F199" si="200">(B199*0.45 + C199*0.55)</f>
        <v>69.65</v>
      </c>
      <c r="F199" s="4">
        <f t="shared" si="200"/>
        <v>59.835</v>
      </c>
      <c r="G199" s="3" t="str">
        <f t="shared" si="3"/>
        <v>B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4">
        <f t="shared" ref="E200:F200" si="201">(B200*0.45 + C200*0.55)</f>
        <v>49.955</v>
      </c>
      <c r="F200" s="4">
        <f t="shared" si="201"/>
        <v>31.44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4">
        <f t="shared" ref="E201:F201" si="202">(B201*0.45 + C201*0.55)</f>
        <v>77.11</v>
      </c>
      <c r="F201" s="4">
        <f t="shared" si="202"/>
        <v>59.97</v>
      </c>
      <c r="G201" s="3" t="str">
        <f t="shared" si="3"/>
        <v>B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4">
        <f t="shared" ref="E202:F202" si="203">(B202*0.45 + C202*0.55)</f>
        <v>77.13</v>
      </c>
      <c r="F202" s="4">
        <f t="shared" si="203"/>
        <v>46.165</v>
      </c>
      <c r="G202" s="3" t="str">
        <f t="shared" si="3"/>
        <v>C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4">
        <f t="shared" ref="E203:F203" si="204">(B203*0.45 + C203*0.55)</f>
        <v>45.3</v>
      </c>
      <c r="F203" s="4">
        <f t="shared" si="204"/>
        <v>71.905</v>
      </c>
      <c r="G203" s="3" t="str">
        <f t="shared" si="3"/>
        <v>A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4">
        <f t="shared" ref="E204:F204" si="205">(B204*0.45 + C204*0.55)</f>
        <v>63.09</v>
      </c>
      <c r="F204" s="4">
        <f t="shared" si="205"/>
        <v>31.825</v>
      </c>
      <c r="G204" s="3" t="str">
        <f t="shared" si="3"/>
        <v>E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4">
        <f t="shared" ref="E205:F205" si="206">(B205*0.45 + C205*0.55)</f>
        <v>57.135</v>
      </c>
      <c r="F205" s="4">
        <f t="shared" si="206"/>
        <v>55.995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4">
        <f t="shared" ref="E206:F206" si="207">(B206*0.45 + C206*0.55)</f>
        <v>41.225</v>
      </c>
      <c r="F206" s="4">
        <f t="shared" si="207"/>
        <v>24.815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4">
        <f t="shared" ref="E207:F207" si="208">(B207*0.45 + C207*0.55)</f>
        <v>59.785</v>
      </c>
      <c r="F207" s="4">
        <f t="shared" si="208"/>
        <v>76.955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4">
        <f t="shared" ref="E208:F208" si="209">(B208*0.45 + C208*0.55)</f>
        <v>58.635</v>
      </c>
      <c r="F208" s="4">
        <f t="shared" si="209"/>
        <v>86.385</v>
      </c>
      <c r="G208" s="3" t="str">
        <f t="shared" si="3"/>
        <v>A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4">
        <f t="shared" ref="E209:F209" si="210">(B209*0.45 + C209*0.55)</f>
        <v>77.07</v>
      </c>
      <c r="F209" s="4">
        <f t="shared" si="210"/>
        <v>60.705</v>
      </c>
      <c r="G209" s="3" t="str">
        <f t="shared" si="3"/>
        <v>B+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4">
        <f t="shared" ref="E210:F210" si="211">(B210*0.45 + C210*0.55)</f>
        <v>42.27</v>
      </c>
      <c r="F210" s="4">
        <f t="shared" si="211"/>
        <v>39.93</v>
      </c>
      <c r="G210" s="3" t="str">
        <f t="shared" si="3"/>
        <v>D</v>
      </c>
      <c r="H210" s="3" t="str">
        <f t="shared" si="4"/>
        <v>F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4">
        <f t="shared" ref="E211:F211" si="212">(B211*0.45 + C211*0.55)</f>
        <v>66.86</v>
      </c>
      <c r="F211" s="4">
        <f t="shared" si="212"/>
        <v>68.425</v>
      </c>
      <c r="G211" s="3" t="str">
        <f t="shared" si="3"/>
        <v>B+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4">
        <f t="shared" ref="E212:F212" si="213">(B212*0.45 + C212*0.55)</f>
        <v>75.83</v>
      </c>
      <c r="F212" s="4">
        <f t="shared" si="213"/>
        <v>78.195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4">
        <f t="shared" ref="E213:F213" si="214">(B213*0.45 + C213*0.55)</f>
        <v>67.63</v>
      </c>
      <c r="F213" s="4">
        <f t="shared" si="214"/>
        <v>89.735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4">
        <f t="shared" ref="E214:F214" si="215">(B214*0.45 + C214*0.55)</f>
        <v>59.25</v>
      </c>
      <c r="F214" s="4">
        <f t="shared" si="215"/>
        <v>57.81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4">
        <f t="shared" ref="E215:F215" si="216">(B215*0.45 + C215*0.55)</f>
        <v>70.56</v>
      </c>
      <c r="F215" s="4">
        <f t="shared" si="216"/>
        <v>75.75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4">
        <f t="shared" ref="E216:F216" si="217">(B216*0.45 + C216*0.55)</f>
        <v>61.905</v>
      </c>
      <c r="F216" s="4">
        <f t="shared" si="217"/>
        <v>60.21</v>
      </c>
      <c r="G216" s="3" t="str">
        <f t="shared" si="3"/>
        <v>B+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4">
        <f t="shared" ref="E217:F217" si="218">(B217*0.45 + C217*0.55)</f>
        <v>90.57</v>
      </c>
      <c r="F217" s="4">
        <f t="shared" si="218"/>
        <v>59.455</v>
      </c>
      <c r="G217" s="3" t="str">
        <f t="shared" si="3"/>
        <v>B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4">
        <f t="shared" ref="E218:F218" si="219">(B218*0.45 + C218*0.55)</f>
        <v>62.39</v>
      </c>
      <c r="F218" s="4">
        <f t="shared" si="219"/>
        <v>44.8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4">
        <f t="shared" ref="E219:F219" si="220">(B219*0.45 + C219*0.55)</f>
        <v>69.165</v>
      </c>
      <c r="F219" s="4">
        <f t="shared" si="220"/>
        <v>44.65</v>
      </c>
      <c r="G219" s="3" t="str">
        <f t="shared" si="3"/>
        <v>C</v>
      </c>
      <c r="H219" s="3" t="str">
        <f t="shared" si="4"/>
        <v>F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4">
        <f t="shared" ref="E220:F220" si="221">(B220*0.45 + C220*0.55)</f>
        <v>72.755</v>
      </c>
      <c r="F220" s="4">
        <f t="shared" si="221"/>
        <v>52.39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4">
        <f t="shared" ref="E221:F221" si="222">(B221*0.45 + C221*0.55)</f>
        <v>55.635</v>
      </c>
      <c r="F221" s="4">
        <f t="shared" si="222"/>
        <v>56.64</v>
      </c>
      <c r="G221" s="3" t="str">
        <f t="shared" si="3"/>
        <v>B</v>
      </c>
      <c r="H221" s="3" t="str">
        <f t="shared" si="4"/>
        <v>P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4">
        <f t="shared" ref="E222:F222" si="223">(B222*0.45 + C222*0.55)</f>
        <v>58.99</v>
      </c>
      <c r="F222" s="4">
        <f t="shared" si="223"/>
        <v>81.235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4">
        <f t="shared" ref="E223:F223" si="224">(B223*0.45 + C223*0.55)</f>
        <v>46.57</v>
      </c>
      <c r="F223" s="4">
        <f t="shared" si="224"/>
        <v>36.095</v>
      </c>
      <c r="G223" s="3" t="str">
        <f t="shared" si="3"/>
        <v>D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4">
        <f t="shared" ref="E224:F224" si="225">(B224*0.45 + C224*0.55)</f>
        <v>56.535</v>
      </c>
      <c r="F224" s="4">
        <f t="shared" si="225"/>
        <v>58.595</v>
      </c>
      <c r="G224" s="3" t="str">
        <f t="shared" si="3"/>
        <v>B</v>
      </c>
      <c r="H224" s="3" t="str">
        <f t="shared" si="4"/>
        <v>P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4">
        <f t="shared" ref="E225:F225" si="226">(B225*0.45 + C225*0.55)</f>
        <v>64.315</v>
      </c>
      <c r="F225" s="4">
        <f t="shared" si="226"/>
        <v>68.825</v>
      </c>
      <c r="G225" s="3" t="str">
        <f t="shared" si="3"/>
        <v>B+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4">
        <f t="shared" ref="E226:F226" si="227">(B226*0.45 + C226*0.55)</f>
        <v>88.085</v>
      </c>
      <c r="F226" s="4">
        <f t="shared" si="227"/>
        <v>54.155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4">
        <f t="shared" ref="E227:F227" si="228">(B227*0.45 + C227*0.55)</f>
        <v>59.69</v>
      </c>
      <c r="F227" s="4">
        <f t="shared" si="228"/>
        <v>39.15</v>
      </c>
      <c r="G227" s="3" t="str">
        <f t="shared" si="3"/>
        <v>D</v>
      </c>
      <c r="H227" s="3" t="str">
        <f t="shared" si="4"/>
        <v>F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4">
        <f t="shared" ref="E228:F228" si="229">(B228*0.45 + C228*0.55)</f>
        <v>37.35</v>
      </c>
      <c r="F228" s="4">
        <f t="shared" si="229"/>
        <v>35.36</v>
      </c>
      <c r="G228" s="3" t="str">
        <f t="shared" si="3"/>
        <v>D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4">
        <f t="shared" ref="E229:F229" si="230">(B229*0.45 + C229*0.55)</f>
        <v>32.06</v>
      </c>
      <c r="F229" s="4">
        <f t="shared" si="230"/>
        <v>64.41</v>
      </c>
      <c r="G229" s="3" t="str">
        <f t="shared" si="3"/>
        <v>B+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4">
        <f t="shared" ref="E230:F230" si="231">(B230*0.45 + C230*0.55)</f>
        <v>92.785</v>
      </c>
      <c r="F230" s="4">
        <f t="shared" si="231"/>
        <v>93.915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4">
        <f t="shared" ref="E231:F231" si="232">(B231*0.45 + C231*0.55)</f>
        <v>57.495</v>
      </c>
      <c r="F231" s="4">
        <f t="shared" si="232"/>
        <v>77.77</v>
      </c>
      <c r="G231" s="3" t="str">
        <f t="shared" si="3"/>
        <v>A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4">
        <f t="shared" ref="E232:F232" si="233">(B232*0.45 + C232*0.55)</f>
        <v>91.91</v>
      </c>
      <c r="F232" s="4">
        <f t="shared" si="233"/>
        <v>47.285</v>
      </c>
      <c r="G232" s="3" t="str">
        <f t="shared" si="3"/>
        <v>C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4">
        <f t="shared" ref="E233:F233" si="234">(B233*0.45 + C233*0.55)</f>
        <v>55.135</v>
      </c>
      <c r="F233" s="4">
        <f t="shared" si="234"/>
        <v>40.83</v>
      </c>
      <c r="G233" s="3" t="str">
        <f t="shared" si="3"/>
        <v>C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4">
        <f t="shared" ref="E234:F234" si="235">(B234*0.45 + C234*0.55)</f>
        <v>53.39</v>
      </c>
      <c r="F234" s="4">
        <f t="shared" si="235"/>
        <v>29.61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4">
        <f t="shared" ref="E235:F235" si="236">(B235*0.45 + C235*0.55)</f>
        <v>63.625</v>
      </c>
      <c r="F235" s="4">
        <f t="shared" si="236"/>
        <v>67.83</v>
      </c>
      <c r="G235" s="3" t="str">
        <f t="shared" si="3"/>
        <v>B+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4">
        <f t="shared" ref="E236:F236" si="237">(B236*0.45 + C236*0.55)</f>
        <v>68.515</v>
      </c>
      <c r="F236" s="4">
        <f t="shared" si="237"/>
        <v>80.37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4">
        <f t="shared" ref="E237:F237" si="238">(B237*0.45 + C237*0.55)</f>
        <v>69.89</v>
      </c>
      <c r="F237" s="4">
        <f t="shared" si="238"/>
        <v>82.505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4">
        <f t="shared" ref="E238:F238" si="239">(B238*0.45 + C238*0.55)</f>
        <v>41.92</v>
      </c>
      <c r="F238" s="4">
        <f t="shared" si="239"/>
        <v>24.585</v>
      </c>
      <c r="G238" s="3" t="str">
        <f t="shared" si="3"/>
        <v>E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4">
        <f t="shared" ref="E239:F239" si="240">(B239*0.45 + C239*0.55)</f>
        <v>45.395</v>
      </c>
      <c r="F239" s="4">
        <f t="shared" si="240"/>
        <v>49.4</v>
      </c>
      <c r="G239" s="3" t="str">
        <f t="shared" si="3"/>
        <v>C</v>
      </c>
      <c r="H239" s="3" t="str">
        <f t="shared" si="4"/>
        <v>P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4">
        <f t="shared" ref="E240:F240" si="241">(B240*0.45 + C240*0.55)</f>
        <v>63.165</v>
      </c>
      <c r="F240" s="4">
        <f t="shared" si="241"/>
        <v>44.3</v>
      </c>
      <c r="G240" s="3" t="str">
        <f t="shared" si="3"/>
        <v>C</v>
      </c>
      <c r="H240" s="3" t="str">
        <f t="shared" si="4"/>
        <v>F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4">
        <f t="shared" ref="E241:F241" si="242">(B241*0.45 + C241*0.55)</f>
        <v>30.46</v>
      </c>
      <c r="F241" s="4">
        <f t="shared" si="242"/>
        <v>30.375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4">
        <f t="shared" ref="E242:F242" si="243">(B242*0.45 + C242*0.55)</f>
        <v>81.135</v>
      </c>
      <c r="F242" s="4">
        <f t="shared" si="243"/>
        <v>45.34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4">
        <f t="shared" ref="E243:F243" si="244">(B243*0.45 + C243*0.55)</f>
        <v>54.155</v>
      </c>
      <c r="F243" s="4">
        <f t="shared" si="244"/>
        <v>35.685</v>
      </c>
      <c r="G243" s="3" t="str">
        <f t="shared" si="3"/>
        <v>D</v>
      </c>
      <c r="H243" s="3" t="str">
        <f t="shared" si="4"/>
        <v>F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4">
        <f t="shared" ref="E244:F244" si="245">(B244*0.45 + C244*0.55)</f>
        <v>44.52</v>
      </c>
      <c r="F244" s="4">
        <f t="shared" si="245"/>
        <v>70.405</v>
      </c>
      <c r="G244" s="3" t="str">
        <f t="shared" si="3"/>
        <v>A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4">
        <f t="shared" ref="E245:F245" si="246">(B245*0.45 + C245*0.55)</f>
        <v>79.68</v>
      </c>
      <c r="F245" s="4">
        <f t="shared" si="246"/>
        <v>77.92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4">
        <f t="shared" ref="E246:F246" si="247">(B246*0.45 + C246*0.55)</f>
        <v>43.505</v>
      </c>
      <c r="F246" s="4">
        <f t="shared" si="247"/>
        <v>45.14</v>
      </c>
      <c r="G246" s="3" t="str">
        <f t="shared" si="3"/>
        <v>C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4">
        <f t="shared" ref="E247:F247" si="248">(B247*0.45 + C247*0.55)</f>
        <v>38.095</v>
      </c>
      <c r="F247" s="4">
        <f t="shared" si="248"/>
        <v>46.145</v>
      </c>
      <c r="G247" s="3" t="str">
        <f t="shared" si="3"/>
        <v>C</v>
      </c>
      <c r="H247" s="3" t="str">
        <f t="shared" si="4"/>
        <v>P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4">
        <f t="shared" ref="E248:F248" si="249">(B248*0.45 + C248*0.55)</f>
        <v>49.9</v>
      </c>
      <c r="F248" s="4">
        <f t="shared" si="249"/>
        <v>62.735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4">
        <f t="shared" ref="E249:F249" si="250">(B249*0.45 + C249*0.55)</f>
        <v>71.51</v>
      </c>
      <c r="F249" s="4">
        <f t="shared" si="250"/>
        <v>83.505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4">
        <f t="shared" ref="E250:F250" si="251">(B250*0.45 + C250*0.55)</f>
        <v>58.905</v>
      </c>
      <c r="F250" s="4">
        <f t="shared" si="251"/>
        <v>77.415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4">
        <f t="shared" ref="E251:F251" si="252">(B251*0.45 + C251*0.55)</f>
        <v>56.395</v>
      </c>
      <c r="F251" s="4">
        <f t="shared" si="252"/>
        <v>82.635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5" t="s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6"/>
      <c r="C254" s="7"/>
      <c r="D254" s="8" t="s">
        <v>1</v>
      </c>
      <c r="E254" s="8" t="s">
        <v>2</v>
      </c>
      <c r="F254" s="8" t="s">
        <v>4</v>
      </c>
      <c r="G254" s="8" t="s">
        <v>3</v>
      </c>
      <c r="H254" s="8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">
        <v>9</v>
      </c>
      <c r="C255" s="3"/>
      <c r="D255" s="9">
        <f t="shared" ref="D255:E255" si="253">MIN(B2:B251)</f>
        <v>10.2</v>
      </c>
      <c r="E255" s="9">
        <f t="shared" si="253"/>
        <v>10.3</v>
      </c>
      <c r="F255" s="9">
        <f>MIN(E2:E251)</f>
        <v>11.65</v>
      </c>
      <c r="G255" s="9">
        <f>MIN(D2:D251)</f>
        <v>10.1</v>
      </c>
      <c r="H255" s="9">
        <f>MIN(F2:F251)</f>
        <v>15.965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10</v>
      </c>
      <c r="C256" s="3"/>
      <c r="D256" s="9">
        <f t="shared" ref="D256:E256" si="254">MAX(B2:B251)</f>
        <v>99.8</v>
      </c>
      <c r="E256" s="9">
        <f t="shared" si="254"/>
        <v>99.4</v>
      </c>
      <c r="F256" s="9">
        <f>MAX(E2:E251)</f>
        <v>94.98</v>
      </c>
      <c r="G256" s="9">
        <f>MAX(D2:D251)</f>
        <v>100</v>
      </c>
      <c r="H256" s="9">
        <f>MAX(F2:F251)</f>
        <v>97.365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10" t="s">
        <v>11</v>
      </c>
      <c r="C257" s="7"/>
      <c r="D257" s="9">
        <f>AVERAGE(B2:B251)</f>
        <v>54.1336</v>
      </c>
      <c r="E257" s="9">
        <f>AVERAGE(C2:D251)</f>
        <v>55.6038</v>
      </c>
      <c r="F257" s="9">
        <f>AVERAGE(E2:E251)</f>
        <v>54.58614</v>
      </c>
      <c r="G257" s="9">
        <f>AVERAGE(D2:D251)</f>
        <v>56.2512</v>
      </c>
      <c r="H257" s="9">
        <f>AVERAGE(F2:F251)</f>
        <v>55.66854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1" t="s">
        <v>12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">
        <v>13</v>
      </c>
      <c r="C260" s="3"/>
      <c r="D260" s="3"/>
      <c r="E260" s="8">
        <f>COUNTIF(H2:H251, "P")</f>
        <v>177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14</v>
      </c>
      <c r="C261" s="3"/>
      <c r="D261" s="3"/>
      <c r="E261" s="8">
        <f>COUNTIF(H2:H251, "F")</f>
        <v>73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5" t="s">
        <v>15</v>
      </c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">
        <v>6</v>
      </c>
      <c r="C264" s="8" t="s">
        <v>16</v>
      </c>
      <c r="D264" s="8" t="s">
        <v>17</v>
      </c>
      <c r="E264" s="8" t="s">
        <v>18</v>
      </c>
      <c r="F264" s="8" t="s">
        <v>19</v>
      </c>
      <c r="G264" s="8" t="s">
        <v>20</v>
      </c>
      <c r="H264" s="8" t="s">
        <v>21</v>
      </c>
      <c r="I264" s="12"/>
      <c r="J264" s="1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22</v>
      </c>
      <c r="C265" s="8">
        <f>COUNTIF(G2:G251, "A")</f>
        <v>52</v>
      </c>
      <c r="D265" s="8">
        <f>COUNTIF(G2:G251, "B+")</f>
        <v>46</v>
      </c>
      <c r="E265" s="8">
        <f>COUNTIF(G2:G251, "B")</f>
        <v>60</v>
      </c>
      <c r="F265" s="8">
        <f>COUNTIF(G2:G251, "C")</f>
        <v>37</v>
      </c>
      <c r="G265" s="8">
        <f>COUNTIF(G2:G251, "D")</f>
        <v>23</v>
      </c>
      <c r="H265" s="8">
        <f>COUNTIF(G2:G251, "E")</f>
        <v>32</v>
      </c>
      <c r="I265" s="12"/>
      <c r="J265" s="1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B254:C254"/>
    <mergeCell ref="B257:C2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3">
        <f t="shared" ref="E2:E251" si="1">ROUND(B2*0.45 + C2*0.55,0)</f>
        <v>41</v>
      </c>
      <c r="F2" s="3">
        <f t="shared" ref="F2:F3" si="2">ROUND(E2:E251*0.5 + D2:D251*0.5, 1)</f>
        <v>61.4</v>
      </c>
      <c r="G2" s="3" t="str">
        <f t="shared" ref="G2:G251" si="3">IFS(
  F2&gt;=70, "A",
  F2&gt;=60, "B+",
  F2&gt;=50, "B",
  F2&gt;=40, "C",
  F2&gt;=35, "D",
  F2&lt;35, "E"
)</f>
        <v>B+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3">
        <f t="shared" si="1"/>
        <v>46</v>
      </c>
      <c r="F3" s="3">
        <f t="shared" si="2"/>
        <v>73</v>
      </c>
      <c r="G3" s="3" t="str">
        <f t="shared" si="3"/>
        <v>A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3">
        <f t="shared" si="1"/>
        <v>63</v>
      </c>
      <c r="F4" s="3">
        <f t="shared" ref="F4:F9" si="5">ROUND(E4:E254*0.5 + D4:D254*0.5, 1)</f>
        <v>66.8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3">
        <f t="shared" si="1"/>
        <v>23</v>
      </c>
      <c r="F5" s="3">
        <f t="shared" si="5"/>
        <v>29.9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3">
        <f t="shared" si="1"/>
        <v>35</v>
      </c>
      <c r="F6" s="3">
        <f t="shared" si="5"/>
        <v>65.7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3">
        <f t="shared" si="1"/>
        <v>46</v>
      </c>
      <c r="F7" s="3">
        <f t="shared" si="5"/>
        <v>63.2</v>
      </c>
      <c r="G7" s="3" t="str">
        <f t="shared" si="3"/>
        <v>B+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3">
        <f t="shared" si="1"/>
        <v>57</v>
      </c>
      <c r="F8" s="3">
        <f t="shared" si="5"/>
        <v>67.4</v>
      </c>
      <c r="G8" s="3" t="str">
        <f t="shared" si="3"/>
        <v>B+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3">
        <f t="shared" si="1"/>
        <v>76</v>
      </c>
      <c r="F9" s="3">
        <f t="shared" si="5"/>
        <v>73.7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3">
        <f t="shared" si="1"/>
        <v>55</v>
      </c>
      <c r="F10" s="3">
        <f t="shared" ref="F10:F251" si="6">ROUND(E10:E261*0.5 + D10:D261*0.5, 1)</f>
        <v>43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3">
        <f t="shared" si="1"/>
        <v>77</v>
      </c>
      <c r="F11" s="3">
        <f t="shared" si="6"/>
        <v>51.1</v>
      </c>
      <c r="G11" s="3" t="str">
        <f t="shared" si="3"/>
        <v>B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3">
        <f t="shared" si="1"/>
        <v>81</v>
      </c>
      <c r="F12" s="3">
        <f t="shared" si="6"/>
        <v>87.2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3">
        <f t="shared" si="1"/>
        <v>66</v>
      </c>
      <c r="F13" s="3">
        <f t="shared" si="6"/>
        <v>65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3">
        <f t="shared" si="1"/>
        <v>13</v>
      </c>
      <c r="F14" s="3">
        <f t="shared" si="6"/>
        <v>47.8</v>
      </c>
      <c r="G14" s="3" t="str">
        <f t="shared" si="3"/>
        <v>C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3">
        <f t="shared" si="1"/>
        <v>47</v>
      </c>
      <c r="F15" s="3">
        <f t="shared" si="6"/>
        <v>73</v>
      </c>
      <c r="G15" s="3" t="str">
        <f t="shared" si="3"/>
        <v>A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3">
        <f t="shared" si="1"/>
        <v>66</v>
      </c>
      <c r="F16" s="3">
        <f t="shared" si="6"/>
        <v>72.3</v>
      </c>
      <c r="G16" s="3" t="str">
        <f t="shared" si="3"/>
        <v>A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3">
        <f t="shared" si="1"/>
        <v>66</v>
      </c>
      <c r="F17" s="3">
        <f t="shared" si="6"/>
        <v>81.2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3">
        <f t="shared" si="1"/>
        <v>32</v>
      </c>
      <c r="F18" s="3">
        <f t="shared" si="6"/>
        <v>44.3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3">
        <f t="shared" si="1"/>
        <v>89</v>
      </c>
      <c r="F19" s="3">
        <f t="shared" si="6"/>
        <v>52.4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3">
        <f t="shared" si="1"/>
        <v>40</v>
      </c>
      <c r="F20" s="3">
        <f t="shared" si="6"/>
        <v>56.1</v>
      </c>
      <c r="G20" s="3" t="str">
        <f t="shared" si="3"/>
        <v>B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3">
        <f t="shared" si="1"/>
        <v>89</v>
      </c>
      <c r="F21" s="3">
        <f t="shared" si="6"/>
        <v>68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3">
        <f t="shared" si="1"/>
        <v>85</v>
      </c>
      <c r="F22" s="3">
        <f t="shared" si="6"/>
        <v>69.4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3">
        <f t="shared" si="1"/>
        <v>59</v>
      </c>
      <c r="F23" s="3">
        <f t="shared" si="6"/>
        <v>63.7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3">
        <f t="shared" si="1"/>
        <v>19</v>
      </c>
      <c r="F24" s="3">
        <f t="shared" si="6"/>
        <v>36.9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3">
        <f t="shared" si="1"/>
        <v>37</v>
      </c>
      <c r="F25" s="3">
        <f t="shared" si="6"/>
        <v>43.3</v>
      </c>
      <c r="G25" s="3" t="str">
        <f t="shared" si="3"/>
        <v>C</v>
      </c>
      <c r="H25" s="3" t="str">
        <f t="shared" si="4"/>
        <v>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3">
        <f t="shared" si="1"/>
        <v>19</v>
      </c>
      <c r="F26" s="3">
        <f t="shared" si="6"/>
        <v>36.4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3">
        <f t="shared" si="1"/>
        <v>72</v>
      </c>
      <c r="F27" s="3">
        <f t="shared" si="6"/>
        <v>70.8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3">
        <f t="shared" si="1"/>
        <v>27</v>
      </c>
      <c r="F28" s="3">
        <f t="shared" si="6"/>
        <v>37.9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3">
        <f t="shared" si="1"/>
        <v>23</v>
      </c>
      <c r="F29" s="3">
        <f t="shared" si="6"/>
        <v>47.1</v>
      </c>
      <c r="G29" s="3" t="str">
        <f t="shared" si="3"/>
        <v>C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3">
        <f t="shared" si="1"/>
        <v>79</v>
      </c>
      <c r="F30" s="3">
        <f t="shared" si="6"/>
        <v>58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3">
        <f t="shared" si="1"/>
        <v>59</v>
      </c>
      <c r="F31" s="3">
        <f t="shared" si="6"/>
        <v>49.8</v>
      </c>
      <c r="G31" s="3" t="str">
        <f t="shared" si="3"/>
        <v>C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3">
        <f t="shared" si="1"/>
        <v>74</v>
      </c>
      <c r="F32" s="3">
        <f t="shared" si="6"/>
        <v>48.5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3">
        <f t="shared" si="1"/>
        <v>57</v>
      </c>
      <c r="F33" s="3">
        <f t="shared" si="6"/>
        <v>33.6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3">
        <f t="shared" si="1"/>
        <v>36</v>
      </c>
      <c r="F34" s="3">
        <f t="shared" si="6"/>
        <v>37.8</v>
      </c>
      <c r="G34" s="3" t="str">
        <f t="shared" si="3"/>
        <v>D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3">
        <f t="shared" si="1"/>
        <v>33</v>
      </c>
      <c r="F35" s="3">
        <f t="shared" si="6"/>
        <v>54.6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3">
        <f t="shared" si="1"/>
        <v>59</v>
      </c>
      <c r="F36" s="3">
        <f t="shared" si="6"/>
        <v>45</v>
      </c>
      <c r="G36" s="3" t="str">
        <f t="shared" si="3"/>
        <v>C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3">
        <f t="shared" si="1"/>
        <v>51</v>
      </c>
      <c r="F37" s="3">
        <f t="shared" si="6"/>
        <v>55.5</v>
      </c>
      <c r="G37" s="3" t="str">
        <f t="shared" si="3"/>
        <v>B</v>
      </c>
      <c r="H37" s="3" t="str">
        <f t="shared" si="4"/>
        <v>P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3">
        <f t="shared" si="1"/>
        <v>45</v>
      </c>
      <c r="F38" s="3">
        <f t="shared" si="6"/>
        <v>33.5</v>
      </c>
      <c r="G38" s="3" t="str">
        <f t="shared" si="3"/>
        <v>E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3">
        <f t="shared" si="1"/>
        <v>64</v>
      </c>
      <c r="F39" s="3">
        <f t="shared" si="6"/>
        <v>38</v>
      </c>
      <c r="G39" s="3" t="str">
        <f t="shared" si="3"/>
        <v>D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3">
        <f t="shared" si="1"/>
        <v>71</v>
      </c>
      <c r="F40" s="3">
        <f t="shared" si="6"/>
        <v>85.3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3">
        <f t="shared" si="1"/>
        <v>46</v>
      </c>
      <c r="F41" s="3">
        <f t="shared" si="6"/>
        <v>40.4</v>
      </c>
      <c r="G41" s="3" t="str">
        <f t="shared" si="3"/>
        <v>C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3">
        <f t="shared" si="1"/>
        <v>26</v>
      </c>
      <c r="F42" s="3">
        <f t="shared" si="6"/>
        <v>18.8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3">
        <f t="shared" si="1"/>
        <v>36</v>
      </c>
      <c r="F43" s="3">
        <f t="shared" si="6"/>
        <v>62.4</v>
      </c>
      <c r="G43" s="3" t="str">
        <f t="shared" si="3"/>
        <v>B+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3">
        <f t="shared" si="1"/>
        <v>49</v>
      </c>
      <c r="F44" s="3">
        <f t="shared" si="6"/>
        <v>60.1</v>
      </c>
      <c r="G44" s="3" t="str">
        <f t="shared" si="3"/>
        <v>B+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3">
        <f t="shared" si="1"/>
        <v>54</v>
      </c>
      <c r="F45" s="3">
        <f t="shared" si="6"/>
        <v>41.3</v>
      </c>
      <c r="G45" s="3" t="str">
        <f t="shared" si="3"/>
        <v>C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3">
        <f t="shared" si="1"/>
        <v>57</v>
      </c>
      <c r="F46" s="3">
        <f t="shared" si="6"/>
        <v>61.2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3">
        <f t="shared" si="1"/>
        <v>42</v>
      </c>
      <c r="F47" s="3">
        <f t="shared" si="6"/>
        <v>65.6</v>
      </c>
      <c r="G47" s="3" t="str">
        <f t="shared" si="3"/>
        <v>B+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3">
        <f t="shared" si="1"/>
        <v>44</v>
      </c>
      <c r="F48" s="3">
        <f t="shared" si="6"/>
        <v>33.1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3">
        <f t="shared" si="1"/>
        <v>42</v>
      </c>
      <c r="F49" s="3">
        <f t="shared" si="6"/>
        <v>40.1</v>
      </c>
      <c r="G49" s="3" t="str">
        <f t="shared" si="3"/>
        <v>C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3">
        <f t="shared" si="1"/>
        <v>73</v>
      </c>
      <c r="F50" s="3">
        <f t="shared" si="6"/>
        <v>66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3">
        <f t="shared" si="1"/>
        <v>74</v>
      </c>
      <c r="F51" s="3">
        <f t="shared" si="6"/>
        <v>55.7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3">
        <f t="shared" si="1"/>
        <v>59</v>
      </c>
      <c r="F52" s="3">
        <f t="shared" si="6"/>
        <v>45.1</v>
      </c>
      <c r="G52" s="3" t="str">
        <f t="shared" si="3"/>
        <v>C</v>
      </c>
      <c r="H52" s="3" t="str">
        <f t="shared" si="4"/>
        <v>P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3">
        <f t="shared" si="1"/>
        <v>53</v>
      </c>
      <c r="F53" s="3">
        <f t="shared" si="6"/>
        <v>47.8</v>
      </c>
      <c r="G53" s="3" t="str">
        <f t="shared" si="3"/>
        <v>C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3">
        <f t="shared" si="1"/>
        <v>39</v>
      </c>
      <c r="F54" s="3">
        <f t="shared" si="6"/>
        <v>27.1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3">
        <f t="shared" si="1"/>
        <v>43</v>
      </c>
      <c r="F55" s="3">
        <f t="shared" si="6"/>
        <v>50.3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3">
        <f t="shared" si="1"/>
        <v>44</v>
      </c>
      <c r="F56" s="3">
        <f t="shared" si="6"/>
        <v>65.4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3">
        <f t="shared" si="1"/>
        <v>49</v>
      </c>
      <c r="F57" s="3">
        <f t="shared" si="6"/>
        <v>55.8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3">
        <f t="shared" si="1"/>
        <v>58</v>
      </c>
      <c r="F58" s="3">
        <f t="shared" si="6"/>
        <v>57.6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3">
        <f t="shared" si="1"/>
        <v>63</v>
      </c>
      <c r="F59" s="3">
        <f t="shared" si="6"/>
        <v>69.5</v>
      </c>
      <c r="G59" s="3" t="str">
        <f t="shared" si="3"/>
        <v>B+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3">
        <f t="shared" si="1"/>
        <v>51</v>
      </c>
      <c r="F60" s="3">
        <f t="shared" si="6"/>
        <v>52.2</v>
      </c>
      <c r="G60" s="3" t="str">
        <f t="shared" si="3"/>
        <v>B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3">
        <f t="shared" si="1"/>
        <v>74</v>
      </c>
      <c r="F61" s="3">
        <f t="shared" si="6"/>
        <v>56.6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3">
        <f t="shared" si="1"/>
        <v>61</v>
      </c>
      <c r="F62" s="3">
        <f t="shared" si="6"/>
        <v>52.7</v>
      </c>
      <c r="G62" s="3" t="str">
        <f t="shared" si="3"/>
        <v>B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3">
        <f t="shared" si="1"/>
        <v>66</v>
      </c>
      <c r="F63" s="3">
        <f t="shared" si="6"/>
        <v>76.6</v>
      </c>
      <c r="G63" s="3" t="str">
        <f t="shared" si="3"/>
        <v>A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3">
        <f t="shared" si="1"/>
        <v>59</v>
      </c>
      <c r="F64" s="3">
        <f t="shared" si="6"/>
        <v>78.2</v>
      </c>
      <c r="G64" s="3" t="str">
        <f t="shared" si="3"/>
        <v>A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3">
        <f t="shared" si="1"/>
        <v>49</v>
      </c>
      <c r="F65" s="3">
        <f t="shared" si="6"/>
        <v>63.8</v>
      </c>
      <c r="G65" s="3" t="str">
        <f t="shared" si="3"/>
        <v>B+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3">
        <f t="shared" si="1"/>
        <v>59</v>
      </c>
      <c r="F66" s="3">
        <f t="shared" si="6"/>
        <v>66.8</v>
      </c>
      <c r="G66" s="3" t="str">
        <f t="shared" si="3"/>
        <v>B+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3">
        <f t="shared" si="1"/>
        <v>34</v>
      </c>
      <c r="F67" s="3">
        <f t="shared" si="6"/>
        <v>28.8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3">
        <f t="shared" si="1"/>
        <v>54</v>
      </c>
      <c r="F68" s="3">
        <f t="shared" si="6"/>
        <v>48.6</v>
      </c>
      <c r="G68" s="3" t="str">
        <f t="shared" si="3"/>
        <v>C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3">
        <f t="shared" si="1"/>
        <v>64</v>
      </c>
      <c r="F69" s="3">
        <f t="shared" si="6"/>
        <v>37.8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3">
        <f t="shared" si="1"/>
        <v>57</v>
      </c>
      <c r="F70" s="3">
        <f t="shared" si="6"/>
        <v>54.3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3">
        <f t="shared" si="1"/>
        <v>61</v>
      </c>
      <c r="F71" s="3">
        <f t="shared" si="6"/>
        <v>40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3">
        <f t="shared" si="1"/>
        <v>61</v>
      </c>
      <c r="F72" s="3">
        <f t="shared" si="6"/>
        <v>60.2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3">
        <f t="shared" si="1"/>
        <v>64</v>
      </c>
      <c r="F73" s="3">
        <f t="shared" si="6"/>
        <v>55.9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3">
        <f t="shared" si="1"/>
        <v>68</v>
      </c>
      <c r="F74" s="3">
        <f t="shared" si="6"/>
        <v>68.5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3">
        <f t="shared" si="1"/>
        <v>53</v>
      </c>
      <c r="F75" s="3">
        <f t="shared" si="6"/>
        <v>34.3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3">
        <f t="shared" si="1"/>
        <v>68</v>
      </c>
      <c r="F76" s="3">
        <f t="shared" si="6"/>
        <v>72.7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3">
        <f t="shared" si="1"/>
        <v>85</v>
      </c>
      <c r="F77" s="3">
        <f t="shared" si="6"/>
        <v>58.7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3">
        <f t="shared" si="1"/>
        <v>69</v>
      </c>
      <c r="F78" s="3">
        <f t="shared" si="6"/>
        <v>73.7</v>
      </c>
      <c r="G78" s="3" t="str">
        <f t="shared" si="3"/>
        <v>A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3">
        <f t="shared" si="1"/>
        <v>34</v>
      </c>
      <c r="F79" s="3">
        <f t="shared" si="6"/>
        <v>54.6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3">
        <f t="shared" si="1"/>
        <v>43</v>
      </c>
      <c r="F80" s="3">
        <f t="shared" si="6"/>
        <v>69.8</v>
      </c>
      <c r="G80" s="3" t="str">
        <f t="shared" si="3"/>
        <v>B+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3">
        <f t="shared" si="1"/>
        <v>37</v>
      </c>
      <c r="F81" s="3">
        <f t="shared" si="6"/>
        <v>64</v>
      </c>
      <c r="G81" s="3" t="str">
        <f t="shared" si="3"/>
        <v>B+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3">
        <f t="shared" si="1"/>
        <v>29</v>
      </c>
      <c r="F82" s="3">
        <f t="shared" si="6"/>
        <v>51.9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3">
        <f t="shared" si="1"/>
        <v>38</v>
      </c>
      <c r="F83" s="3">
        <f t="shared" si="6"/>
        <v>48.3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3">
        <f t="shared" si="1"/>
        <v>69</v>
      </c>
      <c r="F84" s="3">
        <f t="shared" si="6"/>
        <v>49.5</v>
      </c>
      <c r="G84" s="3" t="str">
        <f t="shared" si="3"/>
        <v>C</v>
      </c>
      <c r="H84" s="3" t="str">
        <f t="shared" si="4"/>
        <v>P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3">
        <f t="shared" si="1"/>
        <v>47</v>
      </c>
      <c r="F85" s="3">
        <f t="shared" si="6"/>
        <v>46.1</v>
      </c>
      <c r="G85" s="3" t="str">
        <f t="shared" si="3"/>
        <v>C</v>
      </c>
      <c r="H85" s="3" t="str">
        <f t="shared" si="4"/>
        <v>P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3">
        <f t="shared" si="1"/>
        <v>43</v>
      </c>
      <c r="F86" s="3">
        <f t="shared" si="6"/>
        <v>44.2</v>
      </c>
      <c r="G86" s="3" t="str">
        <f t="shared" si="3"/>
        <v>C</v>
      </c>
      <c r="H86" s="3" t="str">
        <f t="shared" si="4"/>
        <v>F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3">
        <f t="shared" si="1"/>
        <v>35</v>
      </c>
      <c r="F87" s="3">
        <f t="shared" si="6"/>
        <v>53.7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3">
        <f t="shared" si="1"/>
        <v>45</v>
      </c>
      <c r="F88" s="3">
        <f t="shared" si="6"/>
        <v>31.5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3">
        <f t="shared" si="1"/>
        <v>14</v>
      </c>
      <c r="F89" s="3">
        <f t="shared" si="6"/>
        <v>51.2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3">
        <f t="shared" si="1"/>
        <v>48</v>
      </c>
      <c r="F90" s="3">
        <f t="shared" si="6"/>
        <v>49.8</v>
      </c>
      <c r="G90" s="3" t="str">
        <f t="shared" si="3"/>
        <v>C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3">
        <f t="shared" si="1"/>
        <v>70</v>
      </c>
      <c r="F91" s="3">
        <f t="shared" si="6"/>
        <v>65.3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3">
        <f t="shared" si="1"/>
        <v>16</v>
      </c>
      <c r="F92" s="3">
        <f t="shared" si="6"/>
        <v>50.9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3">
        <f t="shared" si="1"/>
        <v>57</v>
      </c>
      <c r="F93" s="3">
        <f t="shared" si="6"/>
        <v>45.6</v>
      </c>
      <c r="G93" s="3" t="str">
        <f t="shared" si="3"/>
        <v>C</v>
      </c>
      <c r="H93" s="3" t="str">
        <f t="shared" si="4"/>
        <v>P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3">
        <f t="shared" si="1"/>
        <v>28</v>
      </c>
      <c r="F94" s="3">
        <f t="shared" si="6"/>
        <v>26.1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3">
        <f t="shared" si="1"/>
        <v>47</v>
      </c>
      <c r="F95" s="3">
        <f t="shared" si="6"/>
        <v>58.1</v>
      </c>
      <c r="G95" s="3" t="str">
        <f t="shared" si="3"/>
        <v>B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3">
        <f t="shared" si="1"/>
        <v>23</v>
      </c>
      <c r="F96" s="3">
        <f t="shared" si="6"/>
        <v>37.8</v>
      </c>
      <c r="G96" s="3" t="str">
        <f t="shared" si="3"/>
        <v>D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3">
        <f t="shared" si="1"/>
        <v>51</v>
      </c>
      <c r="F97" s="3">
        <f t="shared" si="6"/>
        <v>61.8</v>
      </c>
      <c r="G97" s="3" t="str">
        <f t="shared" si="3"/>
        <v>B+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3">
        <f t="shared" si="1"/>
        <v>56</v>
      </c>
      <c r="F98" s="3">
        <f t="shared" si="6"/>
        <v>39.6</v>
      </c>
      <c r="G98" s="3" t="str">
        <f t="shared" si="3"/>
        <v>D</v>
      </c>
      <c r="H98" s="3" t="str">
        <f t="shared" si="4"/>
        <v>F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3">
        <f t="shared" si="1"/>
        <v>28</v>
      </c>
      <c r="F99" s="3">
        <f t="shared" si="6"/>
        <v>32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3">
        <f t="shared" si="1"/>
        <v>95</v>
      </c>
      <c r="F100" s="3">
        <f t="shared" si="6"/>
        <v>85.2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3">
        <f t="shared" si="1"/>
        <v>71</v>
      </c>
      <c r="F101" s="3">
        <f t="shared" si="6"/>
        <v>58.8</v>
      </c>
      <c r="G101" s="3" t="str">
        <f t="shared" si="3"/>
        <v>B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3">
        <f t="shared" si="1"/>
        <v>28</v>
      </c>
      <c r="F102" s="3">
        <f t="shared" si="6"/>
        <v>36.3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3">
        <f t="shared" si="1"/>
        <v>75</v>
      </c>
      <c r="F103" s="3">
        <f t="shared" si="6"/>
        <v>51.1</v>
      </c>
      <c r="G103" s="3" t="str">
        <f t="shared" si="3"/>
        <v>B</v>
      </c>
      <c r="H103" s="3" t="str">
        <f t="shared" si="4"/>
        <v>P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3">
        <f t="shared" si="1"/>
        <v>44</v>
      </c>
      <c r="F104" s="3">
        <f t="shared" si="6"/>
        <v>28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3">
        <f t="shared" si="1"/>
        <v>73</v>
      </c>
      <c r="F105" s="3">
        <f t="shared" si="6"/>
        <v>66.2</v>
      </c>
      <c r="G105" s="3" t="str">
        <f t="shared" si="3"/>
        <v>B+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3">
        <f t="shared" si="1"/>
        <v>37</v>
      </c>
      <c r="F106" s="3">
        <f t="shared" si="6"/>
        <v>68.3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3">
        <f t="shared" si="1"/>
        <v>31</v>
      </c>
      <c r="F107" s="3">
        <f t="shared" si="6"/>
        <v>55.7</v>
      </c>
      <c r="G107" s="3" t="str">
        <f t="shared" si="3"/>
        <v>B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3">
        <f t="shared" si="1"/>
        <v>46</v>
      </c>
      <c r="F108" s="3">
        <f t="shared" si="6"/>
        <v>68.3</v>
      </c>
      <c r="G108" s="3" t="str">
        <f t="shared" si="3"/>
        <v>B+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3">
        <f t="shared" si="1"/>
        <v>43</v>
      </c>
      <c r="F109" s="3">
        <f t="shared" si="6"/>
        <v>60.9</v>
      </c>
      <c r="G109" s="3" t="str">
        <f t="shared" si="3"/>
        <v>B+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3">
        <f t="shared" si="1"/>
        <v>53</v>
      </c>
      <c r="F110" s="3">
        <f t="shared" si="6"/>
        <v>44.2</v>
      </c>
      <c r="G110" s="3" t="str">
        <f t="shared" si="3"/>
        <v>C</v>
      </c>
      <c r="H110" s="3" t="str">
        <f t="shared" si="4"/>
        <v>F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3">
        <f t="shared" si="1"/>
        <v>52</v>
      </c>
      <c r="F111" s="3">
        <f t="shared" si="6"/>
        <v>37.9</v>
      </c>
      <c r="G111" s="3" t="str">
        <f t="shared" si="3"/>
        <v>D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3">
        <f t="shared" si="1"/>
        <v>71</v>
      </c>
      <c r="F112" s="3">
        <f t="shared" si="6"/>
        <v>65.4</v>
      </c>
      <c r="G112" s="3" t="str">
        <f t="shared" si="3"/>
        <v>B+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3">
        <f t="shared" si="1"/>
        <v>57</v>
      </c>
      <c r="F113" s="3">
        <f t="shared" si="6"/>
        <v>71.8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3">
        <f t="shared" si="1"/>
        <v>81</v>
      </c>
      <c r="F114" s="3">
        <f t="shared" si="6"/>
        <v>89.4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3">
        <f t="shared" si="1"/>
        <v>41</v>
      </c>
      <c r="F115" s="3">
        <f t="shared" si="6"/>
        <v>59</v>
      </c>
      <c r="G115" s="3" t="str">
        <f t="shared" si="3"/>
        <v>B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3">
        <f t="shared" si="1"/>
        <v>54</v>
      </c>
      <c r="F116" s="3">
        <f t="shared" si="6"/>
        <v>76.7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3">
        <f t="shared" si="1"/>
        <v>70</v>
      </c>
      <c r="F117" s="3">
        <f t="shared" si="6"/>
        <v>69.3</v>
      </c>
      <c r="G117" s="3" t="str">
        <f t="shared" si="3"/>
        <v>B+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3">
        <f t="shared" si="1"/>
        <v>70</v>
      </c>
      <c r="F118" s="3">
        <f t="shared" si="6"/>
        <v>46</v>
      </c>
      <c r="G118" s="3" t="str">
        <f t="shared" si="3"/>
        <v>C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3">
        <f t="shared" si="1"/>
        <v>28</v>
      </c>
      <c r="F119" s="3">
        <f t="shared" si="6"/>
        <v>60.9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3">
        <f t="shared" si="1"/>
        <v>76</v>
      </c>
      <c r="F120" s="3">
        <f t="shared" si="6"/>
        <v>83.5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3">
        <f t="shared" si="1"/>
        <v>22</v>
      </c>
      <c r="F121" s="3">
        <f t="shared" si="6"/>
        <v>48.8</v>
      </c>
      <c r="G121" s="3" t="str">
        <f t="shared" si="3"/>
        <v>C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3">
        <f t="shared" si="1"/>
        <v>59</v>
      </c>
      <c r="F122" s="3">
        <f t="shared" si="6"/>
        <v>42.4</v>
      </c>
      <c r="G122" s="3" t="str">
        <f t="shared" si="3"/>
        <v>C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3">
        <f t="shared" si="1"/>
        <v>68</v>
      </c>
      <c r="F123" s="3">
        <f t="shared" si="6"/>
        <v>58.2</v>
      </c>
      <c r="G123" s="3" t="str">
        <f t="shared" si="3"/>
        <v>B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3">
        <f t="shared" si="1"/>
        <v>43</v>
      </c>
      <c r="F124" s="3">
        <f t="shared" si="6"/>
        <v>70.4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3">
        <f t="shared" si="1"/>
        <v>70</v>
      </c>
      <c r="F125" s="3">
        <f t="shared" si="6"/>
        <v>84.9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3">
        <f t="shared" si="1"/>
        <v>78</v>
      </c>
      <c r="F126" s="3">
        <f t="shared" si="6"/>
        <v>59.5</v>
      </c>
      <c r="G126" s="3" t="str">
        <f t="shared" si="3"/>
        <v>B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3">
        <f t="shared" si="1"/>
        <v>55</v>
      </c>
      <c r="F127" s="3">
        <f t="shared" si="6"/>
        <v>41.3</v>
      </c>
      <c r="G127" s="3" t="str">
        <f t="shared" si="3"/>
        <v>C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3">
        <f t="shared" si="1"/>
        <v>37</v>
      </c>
      <c r="F128" s="3">
        <f t="shared" si="6"/>
        <v>26.7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3">
        <f t="shared" si="1"/>
        <v>33</v>
      </c>
      <c r="F129" s="3">
        <f t="shared" si="6"/>
        <v>55.7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3">
        <f t="shared" si="1"/>
        <v>45</v>
      </c>
      <c r="F130" s="3">
        <f t="shared" si="6"/>
        <v>34.1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3">
        <f t="shared" si="1"/>
        <v>71</v>
      </c>
      <c r="F131" s="3">
        <f t="shared" si="6"/>
        <v>41.6</v>
      </c>
      <c r="G131" s="3" t="str">
        <f t="shared" si="3"/>
        <v>C</v>
      </c>
      <c r="H131" s="3" t="str">
        <f t="shared" si="4"/>
        <v>F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3">
        <f t="shared" si="1"/>
        <v>40</v>
      </c>
      <c r="F132" s="3">
        <f t="shared" si="6"/>
        <v>33.2</v>
      </c>
      <c r="G132" s="3" t="str">
        <f t="shared" si="3"/>
        <v>E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3">
        <f t="shared" si="1"/>
        <v>39</v>
      </c>
      <c r="F133" s="3">
        <f t="shared" si="6"/>
        <v>65.5</v>
      </c>
      <c r="G133" s="3" t="str">
        <f t="shared" si="3"/>
        <v>B+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3">
        <f t="shared" si="1"/>
        <v>47</v>
      </c>
      <c r="F134" s="3">
        <f t="shared" si="6"/>
        <v>62.4</v>
      </c>
      <c r="G134" s="3" t="str">
        <f t="shared" si="3"/>
        <v>B+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3">
        <f t="shared" si="1"/>
        <v>61</v>
      </c>
      <c r="F135" s="3">
        <f t="shared" si="6"/>
        <v>46.2</v>
      </c>
      <c r="G135" s="3" t="str">
        <f t="shared" si="3"/>
        <v>C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3">
        <f t="shared" si="1"/>
        <v>53</v>
      </c>
      <c r="F136" s="3">
        <f t="shared" si="6"/>
        <v>38.7</v>
      </c>
      <c r="G136" s="3" t="str">
        <f t="shared" si="3"/>
        <v>D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3">
        <f t="shared" si="1"/>
        <v>34</v>
      </c>
      <c r="F137" s="3">
        <f t="shared" si="6"/>
        <v>23.6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3">
        <f t="shared" si="1"/>
        <v>67</v>
      </c>
      <c r="F138" s="3">
        <f t="shared" si="6"/>
        <v>64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3">
        <f t="shared" si="1"/>
        <v>40</v>
      </c>
      <c r="F139" s="3">
        <f t="shared" si="6"/>
        <v>46</v>
      </c>
      <c r="G139" s="3" t="str">
        <f t="shared" si="3"/>
        <v>C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3">
        <f t="shared" si="1"/>
        <v>51</v>
      </c>
      <c r="F140" s="3">
        <f t="shared" si="6"/>
        <v>51.6</v>
      </c>
      <c r="G140" s="3" t="str">
        <f t="shared" si="3"/>
        <v>B</v>
      </c>
      <c r="H140" s="3" t="str">
        <f t="shared" si="4"/>
        <v>P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3">
        <f t="shared" si="1"/>
        <v>56</v>
      </c>
      <c r="F141" s="3">
        <f t="shared" si="6"/>
        <v>42.3</v>
      </c>
      <c r="G141" s="3" t="str">
        <f t="shared" si="3"/>
        <v>C</v>
      </c>
      <c r="H141" s="3" t="str">
        <f t="shared" si="4"/>
        <v>F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3">
        <f t="shared" si="1"/>
        <v>70</v>
      </c>
      <c r="F142" s="3">
        <f t="shared" si="6"/>
        <v>55.8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3">
        <f t="shared" si="1"/>
        <v>53</v>
      </c>
      <c r="F143" s="3">
        <f t="shared" si="6"/>
        <v>33.1</v>
      </c>
      <c r="G143" s="3" t="str">
        <f t="shared" si="3"/>
        <v>E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3">
        <f t="shared" si="1"/>
        <v>70</v>
      </c>
      <c r="F144" s="3">
        <f t="shared" si="6"/>
        <v>68.4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3">
        <f t="shared" si="1"/>
        <v>46</v>
      </c>
      <c r="F145" s="3">
        <f t="shared" si="6"/>
        <v>41.1</v>
      </c>
      <c r="G145" s="3" t="str">
        <f t="shared" si="3"/>
        <v>C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3">
        <f t="shared" si="1"/>
        <v>35</v>
      </c>
      <c r="F146" s="3">
        <f t="shared" si="6"/>
        <v>22.6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3">
        <f t="shared" si="1"/>
        <v>71</v>
      </c>
      <c r="F147" s="3">
        <f t="shared" si="6"/>
        <v>84.8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3">
        <f t="shared" si="1"/>
        <v>76</v>
      </c>
      <c r="F148" s="3">
        <f t="shared" si="6"/>
        <v>71.8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3">
        <f t="shared" si="1"/>
        <v>51</v>
      </c>
      <c r="F149" s="3">
        <f t="shared" si="6"/>
        <v>62.8</v>
      </c>
      <c r="G149" s="3" t="str">
        <f t="shared" si="3"/>
        <v>B+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3">
        <f t="shared" si="1"/>
        <v>63</v>
      </c>
      <c r="F150" s="3">
        <f t="shared" si="6"/>
        <v>41.3</v>
      </c>
      <c r="G150" s="3" t="str">
        <f t="shared" si="3"/>
        <v>C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3">
        <f t="shared" si="1"/>
        <v>56</v>
      </c>
      <c r="F151" s="3">
        <f t="shared" si="6"/>
        <v>39.6</v>
      </c>
      <c r="G151" s="3" t="str">
        <f t="shared" si="3"/>
        <v>D</v>
      </c>
      <c r="H151" s="3" t="str">
        <f t="shared" si="4"/>
        <v>F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3">
        <f t="shared" si="1"/>
        <v>37</v>
      </c>
      <c r="F152" s="3">
        <f t="shared" si="6"/>
        <v>27.5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3">
        <f t="shared" si="1"/>
        <v>42</v>
      </c>
      <c r="F153" s="3">
        <f t="shared" si="6"/>
        <v>39.7</v>
      </c>
      <c r="G153" s="3" t="str">
        <f t="shared" si="3"/>
        <v>D</v>
      </c>
      <c r="H153" s="3" t="str">
        <f t="shared" si="4"/>
        <v>F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3">
        <f t="shared" si="1"/>
        <v>33</v>
      </c>
      <c r="F154" s="3">
        <f t="shared" si="6"/>
        <v>64.9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3">
        <f t="shared" si="1"/>
        <v>82</v>
      </c>
      <c r="F155" s="3">
        <f t="shared" si="6"/>
        <v>82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3">
        <f t="shared" si="1"/>
        <v>51</v>
      </c>
      <c r="F156" s="3">
        <f t="shared" si="6"/>
        <v>52.2</v>
      </c>
      <c r="G156" s="3" t="str">
        <f t="shared" si="3"/>
        <v>B</v>
      </c>
      <c r="H156" s="3" t="str">
        <f t="shared" si="4"/>
        <v>P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3">
        <f t="shared" si="1"/>
        <v>82</v>
      </c>
      <c r="F157" s="3">
        <f t="shared" si="6"/>
        <v>82.7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3">
        <f t="shared" si="1"/>
        <v>57</v>
      </c>
      <c r="F158" s="3">
        <f t="shared" si="6"/>
        <v>72.3</v>
      </c>
      <c r="G158" s="3" t="str">
        <f t="shared" si="3"/>
        <v>A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3">
        <f t="shared" si="1"/>
        <v>66</v>
      </c>
      <c r="F159" s="3">
        <f t="shared" si="6"/>
        <v>81.9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3">
        <f t="shared" si="1"/>
        <v>62</v>
      </c>
      <c r="F160" s="3">
        <f t="shared" si="6"/>
        <v>56.6</v>
      </c>
      <c r="G160" s="3" t="str">
        <f t="shared" si="3"/>
        <v>B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3">
        <f t="shared" si="1"/>
        <v>73</v>
      </c>
      <c r="F161" s="3">
        <f t="shared" si="6"/>
        <v>63.5</v>
      </c>
      <c r="G161" s="3" t="str">
        <f t="shared" si="3"/>
        <v>B+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3">
        <f t="shared" si="1"/>
        <v>88</v>
      </c>
      <c r="F162" s="3">
        <f t="shared" si="6"/>
        <v>56.1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3">
        <f t="shared" si="1"/>
        <v>39</v>
      </c>
      <c r="F163" s="3">
        <f t="shared" si="6"/>
        <v>34.4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3">
        <f t="shared" si="1"/>
        <v>48</v>
      </c>
      <c r="F164" s="3">
        <f t="shared" si="6"/>
        <v>54.8</v>
      </c>
      <c r="G164" s="3" t="str">
        <f t="shared" si="3"/>
        <v>B</v>
      </c>
      <c r="H164" s="3" t="str">
        <f t="shared" si="4"/>
        <v>P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3">
        <f t="shared" si="1"/>
        <v>36</v>
      </c>
      <c r="F165" s="3">
        <f t="shared" si="6"/>
        <v>55.2</v>
      </c>
      <c r="G165" s="3" t="str">
        <f t="shared" si="3"/>
        <v>B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3">
        <f t="shared" si="1"/>
        <v>53</v>
      </c>
      <c r="F166" s="3">
        <f t="shared" si="6"/>
        <v>32.3</v>
      </c>
      <c r="G166" s="3" t="str">
        <f t="shared" si="3"/>
        <v>E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3">
        <f t="shared" si="1"/>
        <v>77</v>
      </c>
      <c r="F167" s="3">
        <f t="shared" si="6"/>
        <v>86.8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3">
        <f t="shared" si="1"/>
        <v>32</v>
      </c>
      <c r="F168" s="3">
        <f t="shared" si="6"/>
        <v>42.5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3">
        <f t="shared" si="1"/>
        <v>59</v>
      </c>
      <c r="F169" s="3">
        <f t="shared" si="6"/>
        <v>71.7</v>
      </c>
      <c r="G169" s="3" t="str">
        <f t="shared" si="3"/>
        <v>A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3">
        <f t="shared" si="1"/>
        <v>40</v>
      </c>
      <c r="F170" s="3">
        <f t="shared" si="6"/>
        <v>51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3">
        <f t="shared" si="1"/>
        <v>77</v>
      </c>
      <c r="F171" s="3">
        <f t="shared" si="6"/>
        <v>74.4</v>
      </c>
      <c r="G171" s="3" t="str">
        <f t="shared" si="3"/>
        <v>A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3">
        <f t="shared" si="1"/>
        <v>60</v>
      </c>
      <c r="F172" s="3">
        <f t="shared" si="6"/>
        <v>70.1</v>
      </c>
      <c r="G172" s="3" t="str">
        <f t="shared" si="3"/>
        <v>A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3">
        <f t="shared" si="1"/>
        <v>74</v>
      </c>
      <c r="F173" s="3">
        <f t="shared" si="6"/>
        <v>58.7</v>
      </c>
      <c r="G173" s="3" t="str">
        <f t="shared" si="3"/>
        <v>B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3">
        <f t="shared" si="1"/>
        <v>41</v>
      </c>
      <c r="F174" s="3">
        <f t="shared" si="6"/>
        <v>62.6</v>
      </c>
      <c r="G174" s="3" t="str">
        <f t="shared" si="3"/>
        <v>B+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3">
        <f t="shared" si="1"/>
        <v>85</v>
      </c>
      <c r="F175" s="3">
        <f t="shared" si="6"/>
        <v>73.2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3">
        <f t="shared" si="1"/>
        <v>45</v>
      </c>
      <c r="F176" s="3">
        <f t="shared" si="6"/>
        <v>42.4</v>
      </c>
      <c r="G176" s="3" t="str">
        <f t="shared" si="3"/>
        <v>C</v>
      </c>
      <c r="H176" s="3" t="str">
        <f t="shared" si="4"/>
        <v>F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3">
        <f t="shared" si="1"/>
        <v>48</v>
      </c>
      <c r="F177" s="3">
        <f t="shared" si="6"/>
        <v>51.9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3">
        <f t="shared" si="1"/>
        <v>44</v>
      </c>
      <c r="F178" s="3">
        <f t="shared" si="6"/>
        <v>60.7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3">
        <f t="shared" si="1"/>
        <v>44</v>
      </c>
      <c r="F179" s="3">
        <f t="shared" si="6"/>
        <v>52.5</v>
      </c>
      <c r="G179" s="3" t="str">
        <f t="shared" si="3"/>
        <v>B</v>
      </c>
      <c r="H179" s="3" t="str">
        <f t="shared" si="4"/>
        <v>P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3">
        <f t="shared" si="1"/>
        <v>62</v>
      </c>
      <c r="F180" s="3">
        <f t="shared" si="6"/>
        <v>78.2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3">
        <f t="shared" si="1"/>
        <v>12</v>
      </c>
      <c r="F181" s="3">
        <f t="shared" si="6"/>
        <v>28.7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3">
        <f t="shared" si="1"/>
        <v>54</v>
      </c>
      <c r="F182" s="3">
        <f t="shared" si="6"/>
        <v>64.3</v>
      </c>
      <c r="G182" s="3" t="str">
        <f t="shared" si="3"/>
        <v>B+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3">
        <f t="shared" si="1"/>
        <v>43</v>
      </c>
      <c r="F183" s="3">
        <f t="shared" si="6"/>
        <v>55.8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3">
        <f t="shared" si="1"/>
        <v>25</v>
      </c>
      <c r="F184" s="3">
        <f t="shared" si="6"/>
        <v>32</v>
      </c>
      <c r="G184" s="3" t="str">
        <f t="shared" si="3"/>
        <v>E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3">
        <f t="shared" si="1"/>
        <v>31</v>
      </c>
      <c r="F185" s="3">
        <f t="shared" si="6"/>
        <v>32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3">
        <f t="shared" si="1"/>
        <v>46</v>
      </c>
      <c r="F186" s="3">
        <f t="shared" si="6"/>
        <v>68.4</v>
      </c>
      <c r="G186" s="3" t="str">
        <f t="shared" si="3"/>
        <v>B+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3">
        <f t="shared" si="1"/>
        <v>39</v>
      </c>
      <c r="F187" s="3">
        <f t="shared" si="6"/>
        <v>41.4</v>
      </c>
      <c r="G187" s="3" t="str">
        <f t="shared" si="3"/>
        <v>C</v>
      </c>
      <c r="H187" s="3" t="str">
        <f t="shared" si="4"/>
        <v>F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3">
        <f t="shared" si="1"/>
        <v>47</v>
      </c>
      <c r="F188" s="3">
        <f t="shared" si="6"/>
        <v>72.1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3">
        <f t="shared" si="1"/>
        <v>60</v>
      </c>
      <c r="F189" s="3">
        <f t="shared" si="6"/>
        <v>75.8</v>
      </c>
      <c r="G189" s="3" t="str">
        <f t="shared" si="3"/>
        <v>A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3">
        <f t="shared" si="1"/>
        <v>58</v>
      </c>
      <c r="F190" s="3">
        <f t="shared" si="6"/>
        <v>49.5</v>
      </c>
      <c r="G190" s="3" t="str">
        <f t="shared" si="3"/>
        <v>C</v>
      </c>
      <c r="H190" s="3" t="str">
        <f t="shared" si="4"/>
        <v>P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3">
        <f t="shared" si="1"/>
        <v>76</v>
      </c>
      <c r="F191" s="3">
        <f t="shared" si="6"/>
        <v>72.2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3">
        <f t="shared" si="1"/>
        <v>40</v>
      </c>
      <c r="F192" s="3">
        <f t="shared" si="6"/>
        <v>59.6</v>
      </c>
      <c r="G192" s="3" t="str">
        <f t="shared" si="3"/>
        <v>B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3">
        <f t="shared" si="1"/>
        <v>62</v>
      </c>
      <c r="F193" s="3">
        <f t="shared" si="6"/>
        <v>57.3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3">
        <f t="shared" si="1"/>
        <v>15</v>
      </c>
      <c r="F194" s="3">
        <f t="shared" si="6"/>
        <v>35.5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3">
        <f t="shared" si="1"/>
        <v>64</v>
      </c>
      <c r="F195" s="3">
        <f t="shared" si="6"/>
        <v>71.2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3">
        <f t="shared" si="1"/>
        <v>63</v>
      </c>
      <c r="F196" s="3">
        <f t="shared" si="6"/>
        <v>42.9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3">
        <f t="shared" si="1"/>
        <v>63</v>
      </c>
      <c r="F197" s="3">
        <f t="shared" si="6"/>
        <v>54.2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3">
        <f t="shared" si="1"/>
        <v>90</v>
      </c>
      <c r="F198" s="3">
        <f t="shared" si="6"/>
        <v>92.9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3">
        <f t="shared" si="1"/>
        <v>70</v>
      </c>
      <c r="F199" s="3">
        <f t="shared" si="6"/>
        <v>60.4</v>
      </c>
      <c r="G199" s="3" t="str">
        <f t="shared" si="3"/>
        <v>B+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3">
        <f t="shared" si="1"/>
        <v>50</v>
      </c>
      <c r="F200" s="3">
        <f t="shared" si="6"/>
        <v>30.6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3">
        <f t="shared" si="1"/>
        <v>77</v>
      </c>
      <c r="F201" s="3">
        <f t="shared" si="6"/>
        <v>68.8</v>
      </c>
      <c r="G201" s="3" t="str">
        <f t="shared" si="3"/>
        <v>B+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3">
        <f t="shared" si="1"/>
        <v>77</v>
      </c>
      <c r="F202" s="3">
        <f t="shared" si="6"/>
        <v>51.8</v>
      </c>
      <c r="G202" s="3" t="str">
        <f t="shared" si="3"/>
        <v>B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3">
        <f t="shared" si="1"/>
        <v>45</v>
      </c>
      <c r="F203" s="3">
        <f t="shared" si="6"/>
        <v>68.6</v>
      </c>
      <c r="G203" s="3" t="str">
        <f t="shared" si="3"/>
        <v>B+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3">
        <f t="shared" si="1"/>
        <v>63</v>
      </c>
      <c r="F204" s="3">
        <f t="shared" si="6"/>
        <v>40.6</v>
      </c>
      <c r="G204" s="3" t="str">
        <f t="shared" si="3"/>
        <v>C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3">
        <f t="shared" si="1"/>
        <v>57</v>
      </c>
      <c r="F205" s="3">
        <f t="shared" si="6"/>
        <v>55.4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3">
        <f t="shared" si="1"/>
        <v>41</v>
      </c>
      <c r="F206" s="3">
        <f t="shared" si="6"/>
        <v>25.6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3">
        <f t="shared" si="1"/>
        <v>60</v>
      </c>
      <c r="F207" s="3">
        <f t="shared" si="6"/>
        <v>78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3">
        <f t="shared" si="1"/>
        <v>59</v>
      </c>
      <c r="F208" s="3">
        <f t="shared" si="6"/>
        <v>67.9</v>
      </c>
      <c r="G208" s="3" t="str">
        <f t="shared" si="3"/>
        <v>B+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3">
        <f t="shared" si="1"/>
        <v>77</v>
      </c>
      <c r="F209" s="3">
        <f t="shared" si="6"/>
        <v>53.8</v>
      </c>
      <c r="G209" s="3" t="str">
        <f t="shared" si="3"/>
        <v>B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3">
        <f t="shared" si="1"/>
        <v>42</v>
      </c>
      <c r="F210" s="3">
        <f t="shared" si="6"/>
        <v>51.9</v>
      </c>
      <c r="G210" s="3" t="str">
        <f t="shared" si="3"/>
        <v>B</v>
      </c>
      <c r="H210" s="3" t="str">
        <f t="shared" si="4"/>
        <v>P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3">
        <f t="shared" si="1"/>
        <v>67</v>
      </c>
      <c r="F211" s="3">
        <f t="shared" si="6"/>
        <v>56.4</v>
      </c>
      <c r="G211" s="3" t="str">
        <f t="shared" si="3"/>
        <v>B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3">
        <f t="shared" si="1"/>
        <v>76</v>
      </c>
      <c r="F212" s="3">
        <f t="shared" si="6"/>
        <v>76.9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3">
        <f t="shared" si="1"/>
        <v>68</v>
      </c>
      <c r="F213" s="3">
        <f t="shared" si="6"/>
        <v>83.8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3">
        <f t="shared" si="1"/>
        <v>59</v>
      </c>
      <c r="F214" s="3">
        <f t="shared" si="6"/>
        <v>58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3">
        <f t="shared" si="1"/>
        <v>71</v>
      </c>
      <c r="F215" s="3">
        <f t="shared" si="6"/>
        <v>76.8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3">
        <f t="shared" si="1"/>
        <v>62</v>
      </c>
      <c r="F216" s="3">
        <f t="shared" si="6"/>
        <v>54</v>
      </c>
      <c r="G216" s="3" t="str">
        <f t="shared" si="3"/>
        <v>B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3">
        <f t="shared" si="1"/>
        <v>91</v>
      </c>
      <c r="F217" s="3">
        <f t="shared" si="6"/>
        <v>64.5</v>
      </c>
      <c r="G217" s="3" t="str">
        <f t="shared" si="3"/>
        <v>B+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3">
        <f t="shared" si="1"/>
        <v>62</v>
      </c>
      <c r="F218" s="3">
        <f t="shared" si="6"/>
        <v>44.4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3">
        <f t="shared" si="1"/>
        <v>69</v>
      </c>
      <c r="F219" s="3">
        <f t="shared" si="6"/>
        <v>53</v>
      </c>
      <c r="G219" s="3" t="str">
        <f t="shared" si="3"/>
        <v>B</v>
      </c>
      <c r="H219" s="3" t="str">
        <f t="shared" si="4"/>
        <v>P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3">
        <f t="shared" si="1"/>
        <v>73</v>
      </c>
      <c r="F220" s="3">
        <f t="shared" si="6"/>
        <v>51.4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3">
        <f t="shared" si="1"/>
        <v>56</v>
      </c>
      <c r="F221" s="3">
        <f t="shared" si="6"/>
        <v>43.9</v>
      </c>
      <c r="G221" s="3" t="str">
        <f t="shared" si="3"/>
        <v>C</v>
      </c>
      <c r="H221" s="3" t="str">
        <f t="shared" si="4"/>
        <v>F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3">
        <f t="shared" si="1"/>
        <v>59</v>
      </c>
      <c r="F222" s="3">
        <f t="shared" si="6"/>
        <v>74.1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3">
        <f t="shared" si="1"/>
        <v>47</v>
      </c>
      <c r="F223" s="3">
        <f t="shared" si="6"/>
        <v>31.9</v>
      </c>
      <c r="G223" s="3" t="str">
        <f t="shared" si="3"/>
        <v>E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3">
        <f t="shared" si="1"/>
        <v>57</v>
      </c>
      <c r="F224" s="3">
        <f t="shared" si="6"/>
        <v>43.6</v>
      </c>
      <c r="G224" s="3" t="str">
        <f t="shared" si="3"/>
        <v>C</v>
      </c>
      <c r="H224" s="3" t="str">
        <f t="shared" si="4"/>
        <v>F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3">
        <f t="shared" si="1"/>
        <v>64</v>
      </c>
      <c r="F225" s="3">
        <f t="shared" si="6"/>
        <v>59.6</v>
      </c>
      <c r="G225" s="3" t="str">
        <f t="shared" si="3"/>
        <v>B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3">
        <f t="shared" si="1"/>
        <v>88</v>
      </c>
      <c r="F226" s="3">
        <f t="shared" si="6"/>
        <v>56.7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3">
        <f t="shared" si="1"/>
        <v>60</v>
      </c>
      <c r="F227" s="3">
        <f t="shared" si="6"/>
        <v>51.2</v>
      </c>
      <c r="G227" s="3" t="str">
        <f t="shared" si="3"/>
        <v>B</v>
      </c>
      <c r="H227" s="3" t="str">
        <f t="shared" si="4"/>
        <v>P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3">
        <f t="shared" si="1"/>
        <v>37</v>
      </c>
      <c r="F228" s="3">
        <f t="shared" si="6"/>
        <v>31.5</v>
      </c>
      <c r="G228" s="3" t="str">
        <f t="shared" si="3"/>
        <v>E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3">
        <f t="shared" si="1"/>
        <v>32</v>
      </c>
      <c r="F229" s="3">
        <f t="shared" si="6"/>
        <v>56.8</v>
      </c>
      <c r="G229" s="3" t="str">
        <f t="shared" si="3"/>
        <v>B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3">
        <f t="shared" si="1"/>
        <v>93</v>
      </c>
      <c r="F230" s="3">
        <f t="shared" si="6"/>
        <v>92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3">
        <f t="shared" si="1"/>
        <v>57</v>
      </c>
      <c r="F231" s="3">
        <f t="shared" si="6"/>
        <v>60.1</v>
      </c>
      <c r="G231" s="3" t="str">
        <f t="shared" si="3"/>
        <v>B+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3">
        <f t="shared" si="1"/>
        <v>92</v>
      </c>
      <c r="F232" s="3">
        <f t="shared" si="6"/>
        <v>51.4</v>
      </c>
      <c r="G232" s="3" t="str">
        <f t="shared" si="3"/>
        <v>B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3">
        <f t="shared" si="1"/>
        <v>55</v>
      </c>
      <c r="F233" s="3">
        <f t="shared" si="6"/>
        <v>37.7</v>
      </c>
      <c r="G233" s="3" t="str">
        <f t="shared" si="3"/>
        <v>D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3">
        <f t="shared" si="1"/>
        <v>53</v>
      </c>
      <c r="F234" s="3">
        <f t="shared" si="6"/>
        <v>32.4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3">
        <f t="shared" si="1"/>
        <v>64</v>
      </c>
      <c r="F235" s="3">
        <f t="shared" si="6"/>
        <v>73.3</v>
      </c>
      <c r="G235" s="3" t="str">
        <f t="shared" si="3"/>
        <v>A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3">
        <f t="shared" si="1"/>
        <v>69</v>
      </c>
      <c r="F236" s="3">
        <f t="shared" si="6"/>
        <v>72.3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3">
        <f t="shared" si="1"/>
        <v>70</v>
      </c>
      <c r="F237" s="3">
        <f t="shared" si="6"/>
        <v>81.5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3">
        <f t="shared" si="1"/>
        <v>42</v>
      </c>
      <c r="F238" s="3">
        <f t="shared" si="6"/>
        <v>35.7</v>
      </c>
      <c r="G238" s="3" t="str">
        <f t="shared" si="3"/>
        <v>D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3">
        <f t="shared" si="1"/>
        <v>45</v>
      </c>
      <c r="F239" s="3">
        <f t="shared" si="6"/>
        <v>39.1</v>
      </c>
      <c r="G239" s="3" t="str">
        <f t="shared" si="3"/>
        <v>D</v>
      </c>
      <c r="H239" s="3" t="str">
        <f t="shared" si="4"/>
        <v>F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3">
        <f t="shared" si="1"/>
        <v>63</v>
      </c>
      <c r="F240" s="3">
        <f t="shared" si="6"/>
        <v>55.5</v>
      </c>
      <c r="G240" s="3" t="str">
        <f t="shared" si="3"/>
        <v>B</v>
      </c>
      <c r="H240" s="3" t="str">
        <f t="shared" si="4"/>
        <v>P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3">
        <f t="shared" si="1"/>
        <v>30</v>
      </c>
      <c r="F241" s="3">
        <f t="shared" si="6"/>
        <v>26.3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3">
        <f t="shared" si="1"/>
        <v>81</v>
      </c>
      <c r="F242" s="3">
        <f t="shared" si="6"/>
        <v>49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3">
        <f t="shared" si="1"/>
        <v>54</v>
      </c>
      <c r="F243" s="3">
        <f t="shared" si="6"/>
        <v>49.1</v>
      </c>
      <c r="G243" s="3" t="str">
        <f t="shared" si="3"/>
        <v>C</v>
      </c>
      <c r="H243" s="3" t="str">
        <f t="shared" si="4"/>
        <v>P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3">
        <f t="shared" si="1"/>
        <v>45</v>
      </c>
      <c r="F244" s="3">
        <f t="shared" si="6"/>
        <v>67.9</v>
      </c>
      <c r="G244" s="3" t="str">
        <f t="shared" si="3"/>
        <v>B+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3">
        <f t="shared" si="1"/>
        <v>80</v>
      </c>
      <c r="F245" s="3">
        <f t="shared" si="6"/>
        <v>75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3">
        <f t="shared" si="1"/>
        <v>44</v>
      </c>
      <c r="F246" s="3">
        <f t="shared" si="6"/>
        <v>56.5</v>
      </c>
      <c r="G246" s="3" t="str">
        <f t="shared" si="3"/>
        <v>B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3">
        <f t="shared" si="1"/>
        <v>38</v>
      </c>
      <c r="F247" s="3">
        <f t="shared" si="6"/>
        <v>41.2</v>
      </c>
      <c r="G247" s="3" t="str">
        <f t="shared" si="3"/>
        <v>C</v>
      </c>
      <c r="H247" s="3" t="str">
        <f t="shared" si="4"/>
        <v>F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3">
        <f t="shared" si="1"/>
        <v>50</v>
      </c>
      <c r="F248" s="3">
        <f t="shared" si="6"/>
        <v>69.4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3">
        <f t="shared" si="1"/>
        <v>72</v>
      </c>
      <c r="F249" s="3">
        <f t="shared" si="6"/>
        <v>85.2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3">
        <f t="shared" si="1"/>
        <v>59</v>
      </c>
      <c r="F250" s="3">
        <f t="shared" si="6"/>
        <v>73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3">
        <f t="shared" si="1"/>
        <v>56</v>
      </c>
      <c r="F251" s="3">
        <f t="shared" si="6"/>
        <v>75.1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" t="s">
        <v>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6"/>
      <c r="C255" s="7"/>
      <c r="D255" s="8" t="s">
        <v>1</v>
      </c>
      <c r="E255" s="8" t="s">
        <v>2</v>
      </c>
      <c r="F255" s="8" t="s">
        <v>4</v>
      </c>
      <c r="G255" s="8" t="s">
        <v>3</v>
      </c>
      <c r="H255" s="8" t="s">
        <v>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9</v>
      </c>
      <c r="C256" s="3"/>
      <c r="D256" s="9">
        <f t="shared" ref="D256:E256" si="7">MIN(B2:B251)</f>
        <v>10.2</v>
      </c>
      <c r="E256" s="9">
        <f t="shared" si="7"/>
        <v>10.3</v>
      </c>
      <c r="F256" s="9">
        <f>MIN(E2:E251)</f>
        <v>12</v>
      </c>
      <c r="G256" s="9">
        <f>MIN(D2:D251)</f>
        <v>10.1</v>
      </c>
      <c r="H256" s="9">
        <f>MIN(F2:F251)</f>
        <v>18.8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 t="s">
        <v>10</v>
      </c>
      <c r="C257" s="3"/>
      <c r="D257" s="9">
        <f t="shared" ref="D257:E257" si="8">MAX(B2:B251)</f>
        <v>99.8</v>
      </c>
      <c r="E257" s="9">
        <f t="shared" si="8"/>
        <v>99.4</v>
      </c>
      <c r="F257" s="9">
        <f>MAX(E2:E251)</f>
        <v>95</v>
      </c>
      <c r="G257" s="9">
        <f>MAX(D2:D251)</f>
        <v>100</v>
      </c>
      <c r="H257" s="9">
        <f>MAX(F2:F251)</f>
        <v>92.9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10" t="s">
        <v>11</v>
      </c>
      <c r="C258" s="7"/>
      <c r="D258" s="9">
        <f>AVERAGE(B2:B251)</f>
        <v>54.1336</v>
      </c>
      <c r="E258" s="9">
        <f>AVERAGE(C2:D251)</f>
        <v>55.6038</v>
      </c>
      <c r="F258" s="9">
        <f>AVERAGE(E2:E251)</f>
        <v>54.608</v>
      </c>
      <c r="G258" s="9">
        <f>AVERAGE(D2:D251)</f>
        <v>56.2512</v>
      </c>
      <c r="H258" s="9">
        <f>AVERAGE(F2:F251)</f>
        <v>55.4544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11" t="s">
        <v>12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13</v>
      </c>
      <c r="C261" s="3"/>
      <c r="D261" s="3"/>
      <c r="E261" s="8">
        <f>COUNTIF(H2:H251, "P")</f>
        <v>179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 t="s">
        <v>14</v>
      </c>
      <c r="C262" s="3"/>
      <c r="D262" s="3"/>
      <c r="E262" s="8">
        <f>COUNTIF(H2:H251, "F")</f>
        <v>71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5" t="s">
        <v>15</v>
      </c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6</v>
      </c>
      <c r="C265" s="8" t="s">
        <v>16</v>
      </c>
      <c r="D265" s="8" t="s">
        <v>17</v>
      </c>
      <c r="E265" s="8" t="s">
        <v>18</v>
      </c>
      <c r="F265" s="8" t="s">
        <v>19</v>
      </c>
      <c r="G265" s="8" t="s">
        <v>20</v>
      </c>
      <c r="H265" s="8" t="s">
        <v>21</v>
      </c>
      <c r="I265" s="12"/>
      <c r="J265" s="1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 t="s">
        <v>22</v>
      </c>
      <c r="C266" s="8">
        <f>COUNTIF(G2:G251, "A")</f>
        <v>49</v>
      </c>
      <c r="D266" s="8">
        <f>COUNTIF(G2:G251, "B+")</f>
        <v>50</v>
      </c>
      <c r="E266" s="8">
        <f>COUNTIF(G2:G251, "B")</f>
        <v>60</v>
      </c>
      <c r="F266" s="8">
        <f>COUNTIF(G2:G251, "C")</f>
        <v>44</v>
      </c>
      <c r="G266" s="8">
        <f>COUNTIF(G2:G251, "D")</f>
        <v>17</v>
      </c>
      <c r="H266" s="8">
        <f>COUNTIF(G2:G251, "E")</f>
        <v>30</v>
      </c>
      <c r="I266" s="12"/>
      <c r="J266" s="1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">
    <mergeCell ref="B255:C255"/>
    <mergeCell ref="B258:C2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2018-12-08T12:18:26Z</dcterms:created>
  <dc:creator>Windows User</dc:creator>
</cp:coreProperties>
</file>